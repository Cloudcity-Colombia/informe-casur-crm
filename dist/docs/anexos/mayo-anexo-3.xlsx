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01-Entrevista-Operativo" sheetId="2" state="visible" r:id="rId4"/>
    <sheet name="02-Entrevista-Lider" sheetId="3" state="visible" r:id="rId5"/>
    <sheet name="03-Agenda-Taller" sheetId="4" state="visible" r:id="rId6"/>
    <sheet name="04-Relatoria-Taller" sheetId="5" state="visible" r:id="rId7"/>
    <sheet name="05-Observacion" sheetId="6" state="visible" r:id="rId8"/>
    <sheet name="06-Inventario-Archivos" sheetId="7" state="visible" r:id="rId9"/>
    <sheet name="07-Diccionario-Datos" sheetId="8" state="visible" r:id="rId10"/>
    <sheet name="08-Matriz-Duplicidad" sheetId="9" state="visible" r:id="rId11"/>
    <sheet name="09-Calidad-Datos" sheetId="10" state="visible" r:id="rId12"/>
    <sheet name="10-Ficha-Proceso" sheetId="11" state="visible" r:id="rId13"/>
    <sheet name="11-Pain-Points" sheetId="12" state="visible" r:id="rId14"/>
    <sheet name="12-Fuente-Verdad" sheetId="13" state="visible" r:id="rId15"/>
    <sheet name="13-FRS" sheetId="14" state="visible" r:id="rId16"/>
    <sheet name="14-Roles-Permisos" sheetId="15" state="visible" r:id="rId17"/>
    <sheet name="15-BPMN-Checklist" sheetId="16" state="visible" r:id="rId18"/>
    <sheet name="16-Migracion" sheetId="17" state="visible" r:id="rId19"/>
    <sheet name="17-Glosario" sheetId="18" state="visible" r:id="rId20"/>
    <sheet name="18-Cierre-Fase" sheetId="19" state="visible" r:id="rId21"/>
    <sheet name="19-Bitacora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<sst xmlns="http://schemas.openxmlformats.org/spreadsheetml/2006/main" count="676" uniqueCount="511">
  <si>
    <t xml:space="preserve">KIT DE INSTRUMENTOS – CRM CASUR</t>
  </si>
  <si>
    <t xml:space="preserve">Caja de Sueldos de Retiro de la Policía Nacional – Levantamiento de procesos para CRM</t>
  </si>
  <si>
    <t xml:space="preserve">Convención: filas amarillas = ejemplo (borrar al diligenciar). Cada hoja corresponde a un instrumento del documento Word.</t>
  </si>
  <si>
    <t xml:space="preserve">#</t>
  </si>
  <si>
    <t xml:space="preserve">Instrumento</t>
  </si>
  <si>
    <t xml:space="preserve">Tipo</t>
  </si>
  <si>
    <t xml:space="preserve">Sección Word</t>
  </si>
  <si>
    <t xml:space="preserve">Cuándo se aplica</t>
  </si>
  <si>
    <t xml:space="preserve">Hoja</t>
  </si>
  <si>
    <t xml:space="preserve">Guion de entrevista semiestructurada (operativo)</t>
  </si>
  <si>
    <t xml:space="preserve">Guion</t>
  </si>
  <si>
    <t xml:space="preserve">§1.1</t>
  </si>
  <si>
    <t xml:space="preserve">Levantamiento As-Is</t>
  </si>
  <si>
    <t xml:space="preserve">01-Entrevista-Operativo</t>
  </si>
  <si>
    <t xml:space="preserve">Guion de entrevista a líder o director</t>
  </si>
  <si>
    <t xml:space="preserve">§1.2</t>
  </si>
  <si>
    <t xml:space="preserve">02-Entrevista-Lider</t>
  </si>
  <si>
    <t xml:space="preserve">Agenda de taller de co-diseño (3 h)</t>
  </si>
  <si>
    <t xml:space="preserve">Agenda</t>
  </si>
  <si>
    <t xml:space="preserve">§1.3</t>
  </si>
  <si>
    <t xml:space="preserve">03-Agenda-Taller</t>
  </si>
  <si>
    <t xml:space="preserve">Formato de relatoría del taller</t>
  </si>
  <si>
    <t xml:space="preserve">Formato</t>
  </si>
  <si>
    <t xml:space="preserve">Cierre del taller</t>
  </si>
  <si>
    <t xml:space="preserve">04-Relatoria-Taller</t>
  </si>
  <si>
    <t xml:space="preserve">Protocolo de observación directa</t>
  </si>
  <si>
    <t xml:space="preserve">Checklist</t>
  </si>
  <si>
    <t xml:space="preserve">§1.4</t>
  </si>
  <si>
    <t xml:space="preserve">05-Observacion</t>
  </si>
  <si>
    <t xml:space="preserve">Inventario de archivos</t>
  </si>
  <si>
    <t xml:space="preserve">Tabla</t>
  </si>
  <si>
    <t xml:space="preserve">§2.1</t>
  </si>
  <si>
    <t xml:space="preserve">Auditoría de datos</t>
  </si>
  <si>
    <t xml:space="preserve">06-Inventario-Archivos</t>
  </si>
  <si>
    <t xml:space="preserve">Diccionario de datos por archivo</t>
  </si>
  <si>
    <t xml:space="preserve">§2.2</t>
  </si>
  <si>
    <t xml:space="preserve">07-Diccionario-Datos</t>
  </si>
  <si>
    <t xml:space="preserve">Matriz de duplicidad de datos</t>
  </si>
  <si>
    <t xml:space="preserve">Matriz</t>
  </si>
  <si>
    <t xml:space="preserve">§2.3</t>
  </si>
  <si>
    <t xml:space="preserve">08-Matriz-Duplicidad</t>
  </si>
  <si>
    <t xml:space="preserve">Hoja de calidad de datos</t>
  </si>
  <si>
    <t xml:space="preserve">§2.4</t>
  </si>
  <si>
    <t xml:space="preserve">09-Calidad-Datos</t>
  </si>
  <si>
    <t xml:space="preserve">Ficha de proceso</t>
  </si>
  <si>
    <t xml:space="preserve">Ficha</t>
  </si>
  <si>
    <t xml:space="preserve">§3.1</t>
  </si>
  <si>
    <t xml:space="preserve">Análisis</t>
  </si>
  <si>
    <t xml:space="preserve">10-Ficha-Proceso</t>
  </si>
  <si>
    <t xml:space="preserve">Matriz de pain points</t>
  </si>
  <si>
    <t xml:space="preserve">§3.2</t>
  </si>
  <si>
    <t xml:space="preserve">11-Pain-Points</t>
  </si>
  <si>
    <t xml:space="preserve">Mapa de única fuente de verdad</t>
  </si>
  <si>
    <t xml:space="preserve">§3.3</t>
  </si>
  <si>
    <t xml:space="preserve">12-Fuente-Verdad</t>
  </si>
  <si>
    <t xml:space="preserve">Matriz de Especificaciones Funcionales (FRS)</t>
  </si>
  <si>
    <t xml:space="preserve">§4.1</t>
  </si>
  <si>
    <t xml:space="preserve">Diseño To-Be</t>
  </si>
  <si>
    <t xml:space="preserve">13-FRS</t>
  </si>
  <si>
    <t xml:space="preserve">Catálogo de roles y matriz de permisos</t>
  </si>
  <si>
    <t xml:space="preserve">§4.2</t>
  </si>
  <si>
    <t xml:space="preserve">14-Roles-Permisos</t>
  </si>
  <si>
    <t xml:space="preserve">BPMN – checklist de validación</t>
  </si>
  <si>
    <t xml:space="preserve">§4.3</t>
  </si>
  <si>
    <t xml:space="preserve">15-BPMN-Checklist</t>
  </si>
  <si>
    <t xml:space="preserve">Estrategia de migración y mapeo origen→destino</t>
  </si>
  <si>
    <t xml:space="preserve">Plan</t>
  </si>
  <si>
    <t xml:space="preserve">§4.4</t>
  </si>
  <si>
    <t xml:space="preserve">16-Migracion</t>
  </si>
  <si>
    <t xml:space="preserve">Glosario</t>
  </si>
  <si>
    <t xml:space="preserve">Anexo A</t>
  </si>
  <si>
    <t xml:space="preserve">Transversal</t>
  </si>
  <si>
    <t xml:space="preserve">17-Glosario</t>
  </si>
  <si>
    <t xml:space="preserve">Lista de verificación de cierre de fase</t>
  </si>
  <si>
    <t xml:space="preserve">Anexo B</t>
  </si>
  <si>
    <t xml:space="preserve">Cierre</t>
  </si>
  <si>
    <t xml:space="preserve">18-Cierre-Fase</t>
  </si>
  <si>
    <t xml:space="preserve">Bitácora de decisiones del proyecto</t>
  </si>
  <si>
    <t xml:space="preserve">Registro</t>
  </si>
  <si>
    <t xml:space="preserve">Anexo C</t>
  </si>
  <si>
    <t xml:space="preserve">19-Bitacora</t>
  </si>
  <si>
    <t xml:space="preserve">Duración 45–60 min. Realizar en el puesto del entrevistado con el Excel/sistema abierto. Columna B precargada con EJEMPLO (reemplazar).</t>
  </si>
  <si>
    <t xml:space="preserve">Nombre completo</t>
  </si>
  <si>
    <t xml:space="preserve">María Fernanda Gómez Ramírez</t>
  </si>
  <si>
    <t xml:space="preserve">Cargo</t>
  </si>
  <si>
    <t xml:space="preserve">Profesional Universitario – Grupo de Prestaciones Económicas</t>
  </si>
  <si>
    <t xml:space="preserve">Dependencia / área</t>
  </si>
  <si>
    <t xml:space="preserve">Subdirección de Prestaciones Sociales</t>
  </si>
  <si>
    <t xml:space="preserve">Antigüedad en el cargo</t>
  </si>
  <si>
    <t xml:space="preserve">4 años y 2 meses</t>
  </si>
  <si>
    <t xml:space="preserve">Rol en el proceso</t>
  </si>
  <si>
    <t xml:space="preserve">Ejecutora (analiza solicitudes de asignación de retiro)</t>
  </si>
  <si>
    <t xml:space="preserve">Fecha de la entrevista</t>
  </si>
  <si>
    <t xml:space="preserve">2026-05-22</t>
  </si>
  <si>
    <t xml:space="preserve">Entrevistador</t>
  </si>
  <si>
    <t xml:space="preserve">Carlos Andrés Pérez (consultor líder)</t>
  </si>
  <si>
    <t xml:space="preserve">A1. Descripción del proceso</t>
  </si>
  <si>
    <t xml:space="preserve">Recibo solicitudes por ventanilla, reviso documentos, cargo en Excel, calculo IBL y paso a sustanciador.</t>
  </si>
  <si>
    <t xml:space="preserve">A2. Evento que dispara su intervención</t>
  </si>
  <si>
    <t xml:space="preserve">Radicación del formato PR-001; el coordinador me asigna por correo.</t>
  </si>
  <si>
    <t xml:space="preserve">A3. Pasos que ejecuta</t>
  </si>
  <si>
    <t xml:space="preserve">1) Verifico documentos. 2) Cargo en Excel. 3) Calculo IBL. 4) Genero proyecto de resolución.</t>
  </si>
  <si>
    <t xml:space="preserve">A4. Tiempo promedio por caso</t>
  </si>
  <si>
    <t xml:space="preserve">3–5 días si está completo; hasta 30 si hay devoluciones.</t>
  </si>
  <si>
    <t xml:space="preserve">A5. Destinatario del resultado</t>
  </si>
  <si>
    <t xml:space="preserve">Sustanciador, por correo, con Excel actualizado y proyecto de resolución.</t>
  </si>
  <si>
    <t xml:space="preserve">B1. Archivos y sistemas que usa</t>
  </si>
  <si>
    <t xml:space="preserve">Control Asignaciones 2026.xlsx (OneDrive), formato PR-001 físico, SOI para consulta.</t>
  </si>
  <si>
    <t xml:space="preserve">B2. Origen de los datos</t>
  </si>
  <si>
    <t xml:space="preserve">Personales del formato físico; tiempo del SOI.</t>
  </si>
  <si>
    <t xml:space="preserve">B3. Quién más alimenta o consulta</t>
  </si>
  <si>
    <t xml:space="preserve">6 personas sobre el mismo Excel; a veces se bloquea.</t>
  </si>
  <si>
    <t xml:space="preserve">B4. Respaldos</t>
  </si>
  <si>
    <t xml:space="preserve">Copia semanal manual en OneDrive personal.</t>
  </si>
  <si>
    <t xml:space="preserve">C1. Tarea que más tiempo le quita</t>
  </si>
  <si>
    <t xml:space="preserve">Recalcular IBL cuando hay novedades de tiempo de servicio.</t>
  </si>
  <si>
    <t xml:space="preserve">C2. Errores recurrentes</t>
  </si>
  <si>
    <t xml:space="preserve">Confusión entre grado al retiro y grado de liquidación.</t>
  </si>
  <si>
    <t xml:space="preserve">C3. Pérdida o duplicación de información</t>
  </si>
  <si>
    <t xml:space="preserve">Cuando el Excel se bloquea, varios graban copias locales.</t>
  </si>
  <si>
    <t xml:space="preserve">C4. Reproceso más frecuente</t>
  </si>
  <si>
    <t xml:space="preserve">Digitar cédula y nombre del afiliado en 4 lugares.</t>
  </si>
  <si>
    <t xml:space="preserve">C5. Pérdida de información (incidentes)</t>
  </si>
  <si>
    <t xml:space="preserve">En febrero perdimos cambios de 2 días por archivo corrupto.</t>
  </si>
  <si>
    <t xml:space="preserve">D1. Archivos paralelos / cuadernos</t>
  </si>
  <si>
    <t xml:space="preserve">Cuaderno con devoluciones; no está en ningún sistema.</t>
  </si>
  <si>
    <t xml:space="preserve">D2. Validaciones mentales</t>
  </si>
  <si>
    <t xml:space="preserve">Verifico que tiempo de servicio sume ≥ 20 años.</t>
  </si>
  <si>
    <t xml:space="preserve">D3. Cambios normativos</t>
  </si>
  <si>
    <t xml:space="preserve">Por circulares en papel y por WhatsApp.</t>
  </si>
  <si>
    <t xml:space="preserve">E1. Expectativas frente al CRM</t>
  </si>
  <si>
    <t xml:space="preserve">Que no tenga que digitar dos veces; que el IBL sea automático.</t>
  </si>
  <si>
    <t xml:space="preserve">E2. Temores frente al cambio</t>
  </si>
  <si>
    <t xml:space="preserve">Que se mida el tiempo por caso sin contexto.</t>
  </si>
  <si>
    <t xml:space="preserve">E3. Información sensible</t>
  </si>
  <si>
    <t xml:space="preserve">Personal en operaciones reservadas; no debe verlo cualquiera.</t>
  </si>
  <si>
    <t xml:space="preserve">E4. Reportes que necesita</t>
  </si>
  <si>
    <t xml:space="preserve">Casos activos, casos que vencen esta semana, total mensual.</t>
  </si>
  <si>
    <t xml:space="preserve">Cierre – compromisos</t>
  </si>
  <si>
    <t xml:space="preserve">Enviar copia anónima de archivos; agendar observación directa.</t>
  </si>
  <si>
    <t xml:space="preserve">Duración 60–75 min. Enfocada en gobierno, indicadores y riesgos. Columna B con EJEMPLO de respuestas.</t>
  </si>
  <si>
    <t xml:space="preserve">Nombre</t>
  </si>
  <si>
    <t xml:space="preserve">Coronel(r) Roberto Mora – Subdirector de Prestaciones Sociales</t>
  </si>
  <si>
    <t xml:space="preserve">Cargo / dependencia</t>
  </si>
  <si>
    <t xml:space="preserve">2026-05-23</t>
  </si>
  <si>
    <t xml:space="preserve">Carlos Andrés Pérez</t>
  </si>
  <si>
    <t xml:space="preserve">1. Objetivo estratégico del proceso</t>
  </si>
  <si>
    <t xml:space="preserve">Reconocer oportunamente la asignación de retiro al personal.</t>
  </si>
  <si>
    <t xml:space="preserve">2. Indicadores que reporta y a quién</t>
  </si>
  <si>
    <t xml:space="preserve">Mensual a la Dirección: casos resueltos, tiempo promedio, % devoluciones.</t>
  </si>
  <si>
    <t xml:space="preserve">3. Cómo construye esos indicadores</t>
  </si>
  <si>
    <t xml:space="preserve">Pide consolidado por analista y junta en presentación.</t>
  </si>
  <si>
    <t xml:space="preserve">4. Decisiones que toma con esos datos</t>
  </si>
  <si>
    <t xml:space="preserve">Asignación de cargas y solicitud de personal de apoyo.</t>
  </si>
  <si>
    <t xml:space="preserve">5. Hallazgos de auditoría / control interno</t>
  </si>
  <si>
    <t xml:space="preserve">Control Interno 2025: falta de trazabilidad sobre cambios en Excel.</t>
  </si>
  <si>
    <t xml:space="preserve">6. Riesgos más altos</t>
  </si>
  <si>
    <t xml:space="preserve">Liquidación errónea (fiscal), vencimiento de términos, fuga de datos.</t>
  </si>
  <si>
    <t xml:space="preserve">7. Cuellos de botella (internos / externos)</t>
  </si>
  <si>
    <t xml:space="preserve">Tiempos de Talento Humano para certificar antigüedad.</t>
  </si>
  <si>
    <t xml:space="preserve">8. Qué considera éxito de la consultoría</t>
  </si>
  <si>
    <t xml:space="preserve">Eliminar Excel maestro y tener tablero en tiempo real.</t>
  </si>
  <si>
    <t xml:space="preserve">9. Restricciones presupuestales / HC</t>
  </si>
  <si>
    <t xml:space="preserve">Presupuesto diagnóstico aprobado; implementación depende de vigencia 2027.</t>
  </si>
  <si>
    <t xml:space="preserve">10. Patrocinador ejecutivo y frecuencia de reporte</t>
  </si>
  <si>
    <t xml:space="preserve">Director General; reporte quincenal al comité directivo.</t>
  </si>
  <si>
    <t xml:space="preserve">Agenda del taller de co-diseño (3 h)</t>
  </si>
  <si>
    <t xml:space="preserve">Convocar 6–10 participantes (operativos, supervisores, líder). Fila amarilla = EJEMPLO; abajo plantilla en blanco.</t>
  </si>
  <si>
    <t xml:space="preserve">Hora</t>
  </si>
  <si>
    <t xml:space="preserve">Bloque</t>
  </si>
  <si>
    <t xml:space="preserve">Actividad</t>
  </si>
  <si>
    <t xml:space="preserve">Responsable</t>
  </si>
  <si>
    <t xml:space="preserve">Materiales</t>
  </si>
  <si>
    <t xml:space="preserve">Notas</t>
  </si>
  <si>
    <t xml:space="preserve">0:00</t>
  </si>
  <si>
    <t xml:space="preserve">Encuadre</t>
  </si>
  <si>
    <t xml:space="preserve">Objetivos, reglas, presentaciones, acuerdo de confidencialidad</t>
  </si>
  <si>
    <t xml:space="preserve">Facilitador</t>
  </si>
  <si>
    <t xml:space="preserve">Slides intro, acta</t>
  </si>
  <si>
    <t xml:space="preserve">Capturar lista de asistentes</t>
  </si>
  <si>
    <t xml:space="preserve">0:20</t>
  </si>
  <si>
    <t xml:space="preserve">As-Is</t>
  </si>
  <si>
    <t xml:space="preserve">Dibujo del proceso en post-its; escriba registra BPMN</t>
  </si>
  <si>
    <t xml:space="preserve">Facilitador + Escriba</t>
  </si>
  <si>
    <t xml:space="preserve">Post-its 3 colores, marcadores</t>
  </si>
  <si>
    <t xml:space="preserve">1:30</t>
  </si>
  <si>
    <t xml:space="preserve">Pain points</t>
  </si>
  <si>
    <t xml:space="preserve">Identificación de cuellos de botella; dot-voting</t>
  </si>
  <si>
    <t xml:space="preserve">Stickers para votar</t>
  </si>
  <si>
    <t xml:space="preserve">2:15</t>
  </si>
  <si>
    <t xml:space="preserve">To-Be</t>
  </si>
  <si>
    <t xml:space="preserve">Bosquejo del proceso optimizado</t>
  </si>
  <si>
    <t xml:space="preserve">Tablero, post-its azules</t>
  </si>
  <si>
    <t xml:space="preserve">2:45</t>
  </si>
  <si>
    <t xml:space="preserve">Compromisos, próximos pasos, evaluación</t>
  </si>
  <si>
    <t xml:space="preserve">Acta de acuerdos</t>
  </si>
  <si>
    <t xml:space="preserve">Diligenciar en las últimas horas del taller o en las 24h siguientes. Columna B con EJEMPLO.</t>
  </si>
  <si>
    <t xml:space="preserve">Proceso trabajado</t>
  </si>
  <si>
    <t xml:space="preserve">Reconocimiento de Asignación de Retiro</t>
  </si>
  <si>
    <t xml:space="preserve">Fecha y duración real</t>
  </si>
  <si>
    <t xml:space="preserve">2026-05-28, 3h 15min</t>
  </si>
  <si>
    <t xml:space="preserve">Facilitador / Escriba / Observador</t>
  </si>
  <si>
    <t xml:space="preserve">C. Pérez / D. Ríos / L. Pinilla</t>
  </si>
  <si>
    <t xml:space="preserve">Participantes (nombre y rol)</t>
  </si>
  <si>
    <t xml:space="preserve">M. Gómez (analista), J. Ruiz (sustanciador), A. López (coord.), S. Díaz (TI), R. Mora (líder), P. Cano (Control Interno)</t>
  </si>
  <si>
    <t xml:space="preserve">Procesos secundarios mencionados</t>
  </si>
  <si>
    <t xml:space="preserve">Sustituciones pensionales, reliquidaciones</t>
  </si>
  <si>
    <t xml:space="preserve">Acuerdo 1</t>
  </si>
  <si>
    <t xml:space="preserve">Eliminar Excel maestro</t>
  </si>
  <si>
    <t xml:space="preserve">Acuerdo 2</t>
  </si>
  <si>
    <t xml:space="preserve">CRM debe calcular IBL automáticamente</t>
  </si>
  <si>
    <t xml:space="preserve">Acuerdo 3</t>
  </si>
  <si>
    <t xml:space="preserve">Notificación al afiliado por SMS</t>
  </si>
  <si>
    <t xml:space="preserve">Disenso 1 (sin resolver)</t>
  </si>
  <si>
    <t xml:space="preserve">¿Firma electrónica o física? Pendiente con jurídica</t>
  </si>
  <si>
    <t xml:space="preserve">Disenso 2 (sin resolver)</t>
  </si>
  <si>
    <t xml:space="preserve">Próximo paso 1 – Responsable – Fecha</t>
  </si>
  <si>
    <t xml:space="preserve">Entrega ficha y BPMN As-Is – Consultor – 2026-06-03</t>
  </si>
  <si>
    <t xml:space="preserve">Próximo paso 2 – Responsable – Fecha</t>
  </si>
  <si>
    <t xml:space="preserve">Confirmar alcance fase 1 – Subdir. Prestaciones – 2026-06-05</t>
  </si>
  <si>
    <t xml:space="preserve">Próximo paso 3 – Responsable – Fecha</t>
  </si>
  <si>
    <t xml:space="preserve">Evaluación del taller (1–5)</t>
  </si>
  <si>
    <t xml:space="preserve">4,3</t>
  </si>
  <si>
    <t xml:space="preserve">Observaciones del facilitador</t>
  </si>
  <si>
    <t xml:space="preserve">Buena participación; tensión cuando se habló de medición de tiempos.</t>
  </si>
  <si>
    <t xml:space="preserve">Acompañamiento de medio día (4 h) al funcionario en su puesto. Sin intervenir.</t>
  </si>
  <si>
    <t xml:space="preserve">Aspecto a observar</t>
  </si>
  <si>
    <t xml:space="preserve">Evidencia / observación adicional</t>
  </si>
  <si>
    <t xml:space="preserve">Hora de inicio del primer caso</t>
  </si>
  <si>
    <t xml:space="preserve">08:15 a.m.</t>
  </si>
  <si>
    <t xml:space="preserve">Sistemas y archivos abiertos en paralelo</t>
  </si>
  <si>
    <t xml:space="preserve">Outlook, Excel Control Asignaciones, SOI, Word, navegador SUIT</t>
  </si>
  <si>
    <t xml:space="preserve">Cambios de aplicación por caso</t>
  </si>
  <si>
    <t xml:space="preserve">12 cambios en promedio</t>
  </si>
  <si>
    <t xml:space="preserve">Interrupciones externas (n y duración)</t>
  </si>
  <si>
    <t xml:space="preserve">5 llamadas (~18 min) y 3 consultas presenciales</t>
  </si>
  <si>
    <t xml:space="preserve">Tiempo promedio por caso</t>
  </si>
  <si>
    <t xml:space="preserve">47 minutos</t>
  </si>
  <si>
    <t xml:space="preserve">Reprocesos detectados</t>
  </si>
  <si>
    <t xml:space="preserve">Digitar cédula y nombre del afiliado en 4 lugares</t>
  </si>
  <si>
    <t xml:space="preserve">Validaciones que hace de memoria</t>
  </si>
  <si>
    <t xml:space="preserve">Sumar años de servicio; verificar grado al retiro</t>
  </si>
  <si>
    <t xml:space="preserve">Información copiada entre archivos</t>
  </si>
  <si>
    <t xml:space="preserve">Tiempo de servicio SOI → Excel → Word</t>
  </si>
  <si>
    <t xml:space="preserve">Documentos físicos involucrados</t>
  </si>
  <si>
    <t xml:space="preserve">Carpeta del afiliado, acta de retiro, certificación tiempo de servicio</t>
  </si>
  <si>
    <t xml:space="preserve">Observaciones cualitativas</t>
  </si>
  <si>
    <t xml:space="preserve">Alta destreza pero ansiedad cuando el Excel se traba; comparte que 'a veces lleva trabajo a casa'.</t>
  </si>
  <si>
    <t xml:space="preserve">Listar todos los Excel, bitácoras y archivos físicos que soportan el proceso. La criticidad guía la profundidad del diccionario de datos.</t>
  </si>
  <si>
    <t xml:space="preserve">ID</t>
  </si>
  <si>
    <t xml:space="preserve">Nombre del archivo</t>
  </si>
  <si>
    <t xml:space="preserve">Ubicación</t>
  </si>
  <si>
    <t xml:space="preserve">Dueño funcional</t>
  </si>
  <si>
    <t xml:space="preserve">Custodio técnico</t>
  </si>
  <si>
    <t xml:space="preserve">Frecuencia uso</t>
  </si>
  <si>
    <t xml:space="preserve">Usuarios concurrentes</t>
  </si>
  <si>
    <t xml:space="preserve">Tamaño</t>
  </si>
  <si>
    <t xml:space="preserve">¿Macros?</t>
  </si>
  <si>
    <t xml:space="preserve">¿Fórmulas críticas?</t>
  </si>
  <si>
    <t xml:space="preserve">Medio de compartición</t>
  </si>
  <si>
    <t xml:space="preserve">Criticidad</t>
  </si>
  <si>
    <t xml:space="preserve">INV-001</t>
  </si>
  <si>
    <t xml:space="preserve">Control Asignaciones 2026.xlsx</t>
  </si>
  <si>
    <t xml:space="preserve">OneDrive – Subdir. Prestaciones</t>
  </si>
  <si>
    <t xml:space="preserve">Coord. Prestaciones</t>
  </si>
  <si>
    <t xml:space="preserve">TI CASUR</t>
  </si>
  <si>
    <t xml:space="preserve">Diaria</t>
  </si>
  <si>
    <t xml:space="preserve">6</t>
  </si>
  <si>
    <t xml:space="preserve">12 MB</t>
  </si>
  <si>
    <t xml:space="preserve">Sí</t>
  </si>
  <si>
    <t xml:space="preserve">Sí (IBL)</t>
  </si>
  <si>
    <t xml:space="preserve">OneDrive</t>
  </si>
  <si>
    <t xml:space="preserve">Alta</t>
  </si>
  <si>
    <t xml:space="preserve">Una fila por columna de cada archivo crítico. Necesario antes de definir el mapeo a entidades del CRM.</t>
  </si>
  <si>
    <t xml:space="preserve">Archivo (ID inv.)</t>
  </si>
  <si>
    <t xml:space="preserve">Pestaña</t>
  </si>
  <si>
    <t xml:space="preserve">Columna Excel</t>
  </si>
  <si>
    <t xml:space="preserve">Descripción funcional</t>
  </si>
  <si>
    <t xml:space="preserve">Tipo dato</t>
  </si>
  <si>
    <t xml:space="preserve">Valores permitidos</t>
  </si>
  <si>
    <t xml:space="preserve">Obligatorio</t>
  </si>
  <si>
    <t xml:space="preserve">Ejemplo</t>
  </si>
  <si>
    <t xml:space="preserve">Origen del dato</t>
  </si>
  <si>
    <t xml:space="preserve">¿Dato personal sensible? (Ley 1581)</t>
  </si>
  <si>
    <t xml:space="preserve">Casos 2026</t>
  </si>
  <si>
    <t xml:space="preserve">B. Cédula</t>
  </si>
  <si>
    <t xml:space="preserve">Documento del afiliado</t>
  </si>
  <si>
    <t xml:space="preserve">Numérico</t>
  </si>
  <si>
    <t xml:space="preserve">8 a 10 dígitos</t>
  </si>
  <si>
    <t xml:space="preserve">79123456</t>
  </si>
  <si>
    <t xml:space="preserve">Manual</t>
  </si>
  <si>
    <t xml:space="preserve">Cruza el mismo dato contra todos los archivos donde aparece. Justifica la creación de entidad única en el CRM.</t>
  </si>
  <si>
    <t xml:space="preserve">Dato (campo lógico)</t>
  </si>
  <si>
    <t xml:space="preserve">Archivo 1</t>
  </si>
  <si>
    <t xml:space="preserve">Archivo 2</t>
  </si>
  <si>
    <t xml:space="preserve">Archivo 3</t>
  </si>
  <si>
    <t xml:space="preserve">Archivo 4</t>
  </si>
  <si>
    <t xml:space="preserve">Archivo 5</t>
  </si>
  <si>
    <t xml:space="preserve">Riesgo identificado</t>
  </si>
  <si>
    <t xml:space="preserve">Severidad</t>
  </si>
  <si>
    <t xml:space="preserve">Cédula del afiliado</t>
  </si>
  <si>
    <t xml:space="preserve">INV-001 (col. B)</t>
  </si>
  <si>
    <t xml:space="preserve">INV-002 (col. A)</t>
  </si>
  <si>
    <t xml:space="preserve">INV-003 (col. C)</t>
  </si>
  <si>
    <t xml:space="preserve">INV-004 (manual)</t>
  </si>
  <si>
    <t xml:space="preserve">Mismo dato en 4 fuentes; inconsistencias de formato (con/sin puntos)</t>
  </si>
  <si>
    <t xml:space="preserve">Una fila por (archivo × indicador). Columna 'Resultado' usa fórmula automática.</t>
  </si>
  <si>
    <t xml:space="preserve">Indicador</t>
  </si>
  <si>
    <t xml:space="preserve">Definición</t>
  </si>
  <si>
    <t xml:space="preserve">Fórmula</t>
  </si>
  <si>
    <t xml:space="preserve">Archivo evaluado (ID inv.)</t>
  </si>
  <si>
    <t xml:space="preserve">Total registros</t>
  </si>
  <si>
    <t xml:space="preserve">Registros con problema</t>
  </si>
  <si>
    <t xml:space="preserve">Resultado</t>
  </si>
  <si>
    <t xml:space="preserve">Meta To-Be</t>
  </si>
  <si>
    <t xml:space="preserve">% completitud</t>
  </si>
  <si>
    <t xml:space="preserve">Registros con todos los campos obligatorios diligenciados</t>
  </si>
  <si>
    <t xml:space="preserve">(Total - con problema) / Total</t>
  </si>
  <si>
    <t xml:space="preserve">≥ 98%</t>
  </si>
  <si>
    <t xml:space="preserve">% duplicados</t>
  </si>
  <si>
    <t xml:space="preserve">Registros con la misma clave natural</t>
  </si>
  <si>
    <t xml:space="preserve">Con problema / Total</t>
  </si>
  <si>
    <t xml:space="preserve">0%</t>
  </si>
  <si>
    <t xml:space="preserve">% inconsistencia formato</t>
  </si>
  <si>
    <t xml:space="preserve">Registros que no cumplen el patrón esperado</t>
  </si>
  <si>
    <t xml:space="preserve">≤ 1%</t>
  </si>
  <si>
    <t xml:space="preserve">% registros huérfanos</t>
  </si>
  <si>
    <t xml:space="preserve">Registros sin relación con su entidad padre</t>
  </si>
  <si>
    <t xml:space="preserve">% actualización</t>
  </si>
  <si>
    <t xml:space="preserve">Registros sin edición ≥ 90 días</t>
  </si>
  <si>
    <t xml:space="preserve">≤ 5%</t>
  </si>
  <si>
    <t xml:space="preserve">Una ficha por proceso priorizado. Columna B con EJEMPLO 'Reconocimiento de Asignación de Retiro'.</t>
  </si>
  <si>
    <t xml:space="preserve">Código del proceso</t>
  </si>
  <si>
    <t xml:space="preserve">PRC-AR-001</t>
  </si>
  <si>
    <t xml:space="preserve">Nombre del proceso</t>
  </si>
  <si>
    <t xml:space="preserve">Macroproceso</t>
  </si>
  <si>
    <t xml:space="preserve">Misional</t>
  </si>
  <si>
    <t xml:space="preserve">Versión / Fecha</t>
  </si>
  <si>
    <t xml:space="preserve">1.0 / 2026-05-21</t>
  </si>
  <si>
    <t xml:space="preserve">Dueño del proceso</t>
  </si>
  <si>
    <t xml:space="preserve">Subdirector(a) de Prestaciones Sociales</t>
  </si>
  <si>
    <t xml:space="preserve">Objetivo</t>
  </si>
  <si>
    <t xml:space="preserve">Reconocer y liquidar oportunamente la asignación de retiro al personal que cumple los requisitos.</t>
  </si>
  <si>
    <t xml:space="preserve">Inicio del alcance</t>
  </si>
  <si>
    <t xml:space="preserve">Radicación de la solicitud por ventanilla única</t>
  </si>
  <si>
    <t xml:space="preserve">Fin del alcance</t>
  </si>
  <si>
    <t xml:space="preserve">Notificación al afiliado de la resolución</t>
  </si>
  <si>
    <t xml:space="preserve">Exclusiones</t>
  </si>
  <si>
    <t xml:space="preserve">Sustituciones pensionales (PRC-SP-001); reliquidaciones (PRC-AR-002)</t>
  </si>
  <si>
    <t xml:space="preserve">Marco normativo aplicable</t>
  </si>
  <si>
    <t xml:space="preserve">Decreto 4433/2004; Ley 1437/2011; Ley 1581/2012; MIPG</t>
  </si>
  <si>
    <t xml:space="preserve">Entradas (insumos)</t>
  </si>
  <si>
    <t xml:space="preserve">Solicitud PR-001; acta de retiro; certificación tiempo de servicio</t>
  </si>
  <si>
    <t xml:space="preserve">Proveedores</t>
  </si>
  <si>
    <t xml:space="preserve">Afiliado; Policía Nacional; Talento Humano PN</t>
  </si>
  <si>
    <t xml:space="preserve">Salidas (productos)</t>
  </si>
  <si>
    <t xml:space="preserve">Resolución; notificación; orden de pago</t>
  </si>
  <si>
    <t xml:space="preserve">Clientes</t>
  </si>
  <si>
    <t xml:space="preserve">Afiliado; Subdirección de Pagos</t>
  </si>
  <si>
    <t xml:space="preserve">Sistemas / herramientas</t>
  </si>
  <si>
    <t xml:space="preserve">Excel Control Asignaciones; SOI; Word; correo</t>
  </si>
  <si>
    <t xml:space="preserve">Recursos humanos (HC)</t>
  </si>
  <si>
    <t xml:space="preserve">1 coordinador, 4 analistas, 2 sustanciadores, 1 notificador</t>
  </si>
  <si>
    <t xml:space="preserve">KPI 1 – Tiempo de ciclo (LB / Meta)</t>
  </si>
  <si>
    <t xml:space="preserve">47 días / ≤ 25 días</t>
  </si>
  <si>
    <t xml:space="preserve">KPI 2 – % cumplimiento SLA (LB / Meta)</t>
  </si>
  <si>
    <t xml:space="preserve">68% / ≥ 95%</t>
  </si>
  <si>
    <t xml:space="preserve">KPI 3 – % reprocesos (LB / Meta)</t>
  </si>
  <si>
    <t xml:space="preserve">14% / ≤ 3%</t>
  </si>
  <si>
    <t xml:space="preserve">KPI 4 – Satisfacción usuario (LB / Meta)</t>
  </si>
  <si>
    <t xml:space="preserve">3,1 / ≥ 4,2</t>
  </si>
  <si>
    <t xml:space="preserve">KPI 5 – Volumen mensual (LB / Meta)</t>
  </si>
  <si>
    <t xml:space="preserve">180 / 240</t>
  </si>
  <si>
    <t xml:space="preserve">Riesgo 1 – Control actual / propuesto CRM</t>
  </si>
  <si>
    <t xml:space="preserve">Liquidación errónea de IBL — Doble revisión / Cálculo automático con auditoría</t>
  </si>
  <si>
    <t xml:space="preserve">Riesgo 2 – Control actual / propuesto CRM</t>
  </si>
  <si>
    <t xml:space="preserve">Vencimiento de términos — Alerta en cuaderno / Alertas a 5 y 2 días</t>
  </si>
  <si>
    <t xml:space="preserve">Riesgo 3 – Control actual / propuesto CRM</t>
  </si>
  <si>
    <t xml:space="preserve">Fuga de datos — Password en Excel / Control de acceso + log</t>
  </si>
  <si>
    <t xml:space="preserve">Consolidado de problemas detectados en entrevistas, talleres y observación. Insumo directo para la FRS.</t>
  </si>
  <si>
    <t xml:space="preserve">Proceso</t>
  </si>
  <si>
    <t xml:space="preserve">Paso afectado</t>
  </si>
  <si>
    <t xml:space="preserve">Descripción</t>
  </si>
  <si>
    <t xml:space="preserve">Causa raíz hipotética</t>
  </si>
  <si>
    <t xml:space="preserve">Impacto</t>
  </si>
  <si>
    <t xml:space="preserve">Frecuencia</t>
  </si>
  <si>
    <t xml:space="preserve">Evidencia</t>
  </si>
  <si>
    <t xml:space="preserve">Mitigación CRM</t>
  </si>
  <si>
    <t xml:space="preserve">Prioridad</t>
  </si>
  <si>
    <t xml:space="preserve">PP-001</t>
  </si>
  <si>
    <t xml:space="preserve">Verificar documentos</t>
  </si>
  <si>
    <t xml:space="preserve">Digitación repetida de cédula y nombre en 4 archivos</t>
  </si>
  <si>
    <t xml:space="preserve">Excel maestro no integrado</t>
  </si>
  <si>
    <t xml:space="preserve">Alto</t>
  </si>
  <si>
    <t xml:space="preserve">Observación 22-may</t>
  </si>
  <si>
    <t xml:space="preserve">Ficha única de afiliado en CRM</t>
  </si>
  <si>
    <t xml:space="preserve">Define el sistema autoritativo por entidad para cerrar la dispersión actual.</t>
  </si>
  <si>
    <t xml:space="preserve">Entidad</t>
  </si>
  <si>
    <t xml:space="preserve">Sistema autoritativo To-Be</t>
  </si>
  <si>
    <t xml:space="preserve">Sistemas que consumen</t>
  </si>
  <si>
    <t xml:space="preserve">Frecuencia sincronización</t>
  </si>
  <si>
    <t xml:space="preserve">Observaciones</t>
  </si>
  <si>
    <t xml:space="preserve">Afiliado / pensionado</t>
  </si>
  <si>
    <t xml:space="preserve">CRM</t>
  </si>
  <si>
    <t xml:space="preserve">Nómina, portal afiliado, BI</t>
  </si>
  <si>
    <t xml:space="preserve">Tiempo real</t>
  </si>
  <si>
    <t xml:space="preserve">CRM debe permitir actualización por evento, no por batch</t>
  </si>
  <si>
    <t xml:space="preserve">Funcionales (RF-XXX) y no funcionales (RNF-XXX) en la misma hoja. Filtrar por columna 'Tipo'.</t>
  </si>
  <si>
    <t xml:space="preserve">Módulo</t>
  </si>
  <si>
    <t xml:space="preserve">MoSCoW</t>
  </si>
  <si>
    <t xml:space="preserve">Justificación / Pain point</t>
  </si>
  <si>
    <t xml:space="preserve">Proceso origen</t>
  </si>
  <si>
    <t xml:space="preserve">Criterio de aceptación</t>
  </si>
  <si>
    <t xml:space="preserve">Norma / referencia</t>
  </si>
  <si>
    <t xml:space="preserve">RF-001</t>
  </si>
  <si>
    <t xml:space="preserve">Funcional</t>
  </si>
  <si>
    <t xml:space="preserve">Gestión de casos</t>
  </si>
  <si>
    <t xml:space="preserve">Crear caso a partir de radicado y asignar al analista con menor carga</t>
  </si>
  <si>
    <t xml:space="preserve">Must</t>
  </si>
  <si>
    <t xml:space="preserve">PP-003 (asignación por correo)</t>
  </si>
  <si>
    <t xml:space="preserve">Caso asignado en ≤ 5 segundos al analista con menor carga activa</t>
  </si>
  <si>
    <t xml:space="preserve">—</t>
  </si>
  <si>
    <t xml:space="preserve">Marcar 'X' donde el rol tiene el permiso. '—' si no aplica. Fila amarilla = ejemplo.</t>
  </si>
  <si>
    <t xml:space="preserve">Entidad / Acción</t>
  </si>
  <si>
    <t xml:space="preserve">Analista</t>
  </si>
  <si>
    <t xml:space="preserve">Coordinador</t>
  </si>
  <si>
    <t xml:space="preserve">Subdirector</t>
  </si>
  <si>
    <t xml:space="preserve">Auditor</t>
  </si>
  <si>
    <t xml:space="preserve">Admin funcional</t>
  </si>
  <si>
    <t xml:space="preserve">Admin técnico</t>
  </si>
  <si>
    <t xml:space="preserve">Afiliado (portal)</t>
  </si>
  <si>
    <t xml:space="preserve">Caso – Crear</t>
  </si>
  <si>
    <t xml:space="preserve">X</t>
  </si>
  <si>
    <t xml:space="preserve">Caso – Leer (propios)</t>
  </si>
  <si>
    <t xml:space="preserve">Caso – Leer (todos)</t>
  </si>
  <si>
    <t xml:space="preserve">Caso – Actualizar</t>
  </si>
  <si>
    <t xml:space="preserve">X (propios)</t>
  </si>
  <si>
    <t xml:space="preserve">Caso – Reasignar</t>
  </si>
  <si>
    <t xml:space="preserve">Caso – Eliminar</t>
  </si>
  <si>
    <t xml:space="preserve">Caso – Exportar</t>
  </si>
  <si>
    <t xml:space="preserve">Afiliado – Datos sensibles</t>
  </si>
  <si>
    <t xml:space="preserve">X (con justificación)</t>
  </si>
  <si>
    <t xml:space="preserve">Configurar SLA</t>
  </si>
  <si>
    <t xml:space="preserve">Gestionar usuarios</t>
  </si>
  <si>
    <t xml:space="preserve">BPMN – Checklist de validación</t>
  </si>
  <si>
    <t xml:space="preserve">Aplicar a cada BPMN To-Be antes de entregar al cliente. Diligenciar columna OK.</t>
  </si>
  <si>
    <t xml:space="preserve">Validación</t>
  </si>
  <si>
    <t xml:space="preserve">OK (Sí/No)</t>
  </si>
  <si>
    <t xml:space="preserve">Todo flujo tiene un evento de inicio y al menos uno de fin.</t>
  </si>
  <si>
    <t xml:space="preserve">Las pools y lanes están etiquetadas con organización y rol.</t>
  </si>
  <si>
    <t xml:space="preserve">Cada actividad tiene un verbo en infinitivo y un único responsable.</t>
  </si>
  <si>
    <t xml:space="preserve">Los gateways están balanceados (toda apertura tiene cierre o fin).</t>
  </si>
  <si>
    <t xml:space="preserve">Las decisiones tienen condiciones claras y mutuamente excluyentes.</t>
  </si>
  <si>
    <t xml:space="preserve">No hay tareas huérfanas ni flujos sin destino.</t>
  </si>
  <si>
    <t xml:space="preserve">Los plazos legales se reflejan como eventos de tiempo.</t>
  </si>
  <si>
    <t xml:space="preserve">Los puntos de integración con sistemas externos están como mensajes.</t>
  </si>
  <si>
    <t xml:space="preserve">Los datos sensibles tienen tareas asociadas de logging / auditoría.</t>
  </si>
  <si>
    <t xml:space="preserve">El proceso To-Be elimina al menos un Excel del As-Is.</t>
  </si>
  <si>
    <t xml:space="preserve">Estrategia de migración – Mapeo origen → destino</t>
  </si>
  <si>
    <t xml:space="preserve">Una fila por columna a migrar. La regla de transformación debe quedar lo suficientemente clara para que el proveedor CRM la implemente.</t>
  </si>
  <si>
    <t xml:space="preserve">Archivo origen (ID inv.)</t>
  </si>
  <si>
    <t xml:space="preserve">Pestaña / hoja</t>
  </si>
  <si>
    <t xml:space="preserve">Columna origen</t>
  </si>
  <si>
    <t xml:space="preserve">Entidad CRM destino</t>
  </si>
  <si>
    <t xml:space="preserve">Campo CRM destino</t>
  </si>
  <si>
    <t xml:space="preserve">Transformación / regla</t>
  </si>
  <si>
    <t xml:space="preserve">Carga piloto (S/N)</t>
  </si>
  <si>
    <t xml:space="preserve">Responsable validación</t>
  </si>
  <si>
    <t xml:space="preserve">Estado</t>
  </si>
  <si>
    <t xml:space="preserve">Afiliado</t>
  </si>
  <si>
    <t xml:space="preserve">documento_identidad</t>
  </si>
  <si>
    <t xml:space="preserve">Eliminar puntos y espacios; validar 8–10 dígitos</t>
  </si>
  <si>
    <t xml:space="preserve">Pendiente</t>
  </si>
  <si>
    <t xml:space="preserve">Glosario configurable</t>
  </si>
  <si>
    <t xml:space="preserve">Validar y completar con CASUR en la primera mesa. La columna 'Sinónimos a evitar' previene ambigüedad en la FRS y en capacitación.</t>
  </si>
  <si>
    <t xml:space="preserve">Término</t>
  </si>
  <si>
    <t xml:space="preserve">Definición operativa</t>
  </si>
  <si>
    <t xml:space="preserve">Sinónimos a evitar</t>
  </si>
  <si>
    <t xml:space="preserve">Validado por</t>
  </si>
  <si>
    <t xml:space="preserve">Personal uniformado o civil vinculado a CASUR con derecho a asignación de retiro o pensión.</t>
  </si>
  <si>
    <t xml:space="preserve">Usuario, cliente</t>
  </si>
  <si>
    <t xml:space="preserve">Subdir. Prestaciones</t>
  </si>
  <si>
    <t xml:space="preserve">Verificar antes de cerrar la fase de diagnóstico. Estado: Pendiente / En curso / Entregado / Aprobado.</t>
  </si>
  <si>
    <t xml:space="preserve">Entregable</t>
  </si>
  <si>
    <t xml:space="preserve">Fecha entrega</t>
  </si>
  <si>
    <t xml:space="preserve">Inventario de archivos completo y firmado</t>
  </si>
  <si>
    <t xml:space="preserve">Diccionario de datos de todos los archivos críticos</t>
  </si>
  <si>
    <t xml:space="preserve">Matriz de duplicidad cerrada</t>
  </si>
  <si>
    <t xml:space="preserve">Fichas de proceso de todos los procesos priorizados</t>
  </si>
  <si>
    <t xml:space="preserve">Matriz de pain points priorizada por dueño de proceso</t>
  </si>
  <si>
    <t xml:space="preserve">Mapa de única fuente de verdad aprobado</t>
  </si>
  <si>
    <t xml:space="preserve">Matriz FRS revisada por CASUR</t>
  </si>
  <si>
    <t xml:space="preserve">Catálogo de roles y permisos validado con Control Interno</t>
  </si>
  <si>
    <t xml:space="preserve">BPMN To-Be de cada proceso priorizado</t>
  </si>
  <si>
    <t xml:space="preserve">Estrategia de migración firmada por TI CASUR</t>
  </si>
  <si>
    <t xml:space="preserve">Bitácora de decisiones al día</t>
  </si>
  <si>
    <t xml:space="preserve">Acta de cierre de la fase</t>
  </si>
  <si>
    <t xml:space="preserve">Registro vivo durante toda la consultoría. Cada cambio de alcance, supuesto o requerimiento se documenta aquí.</t>
  </si>
  <si>
    <t xml:space="preserve">Fecha</t>
  </si>
  <si>
    <t xml:space="preserve">Decisión</t>
  </si>
  <si>
    <t xml:space="preserve">Alternativas consideradas</t>
  </si>
  <si>
    <t xml:space="preserve">Justificación</t>
  </si>
  <si>
    <t xml:space="preserve">Impacto en alcance</t>
  </si>
  <si>
    <t xml:space="preserve">Decisor</t>
  </si>
  <si>
    <t xml:space="preserve">DEC-001</t>
  </si>
  <si>
    <t xml:space="preserve">2026-05-28</t>
  </si>
  <si>
    <t xml:space="preserve">Migrar solo asignaciones de retiro en fase 1</t>
  </si>
  <si>
    <t xml:space="preserve">Migrar también sustituciones pensionales</t>
  </si>
  <si>
    <t xml:space="preserve">Sustituciones requiere normalizar catálogos primero</t>
  </si>
  <si>
    <t xml:space="preserve">Sí (reduce alcance)</t>
  </si>
  <si>
    <t xml:space="preserve">Vigente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</si>
</sst>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1F4E7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5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2" t="s">
        <v>2</v>
      </c>
      <c r="B3" s="2"/>
      <c r="C3" s="2"/>
      <c r="D3" s="2"/>
      <c r="E3" s="2"/>
      <c r="F3" s="2"/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21.75" hidden="false" customHeight="true" outlineLevel="0" collapsed="false">
      <c r="A6" s="4" t="n">
        <v>1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</row>
    <row r="7" customFormat="false" ht="21.75" hidden="false" customHeight="true" outlineLevel="0" collapsed="false">
      <c r="A7" s="4" t="n">
        <v>2</v>
      </c>
      <c r="B7" s="4" t="s">
        <v>14</v>
      </c>
      <c r="C7" s="4" t="s">
        <v>10</v>
      </c>
      <c r="D7" s="4" t="s">
        <v>15</v>
      </c>
      <c r="E7" s="4" t="s">
        <v>12</v>
      </c>
      <c r="F7" s="4" t="s">
        <v>16</v>
      </c>
    </row>
    <row r="8" customFormat="false" ht="21.75" hidden="false" customHeight="true" outlineLevel="0" collapsed="false">
      <c r="A8" s="4" t="n">
        <v>3</v>
      </c>
      <c r="B8" s="4" t="s">
        <v>17</v>
      </c>
      <c r="C8" s="4" t="s">
        <v>18</v>
      </c>
      <c r="D8" s="4" t="s">
        <v>19</v>
      </c>
      <c r="E8" s="4" t="s">
        <v>12</v>
      </c>
      <c r="F8" s="4" t="s">
        <v>20</v>
      </c>
    </row>
    <row r="9" customFormat="false" ht="21.75" hidden="false" customHeight="true" outlineLevel="0" collapsed="false">
      <c r="A9" s="4" t="n">
        <v>4</v>
      </c>
      <c r="B9" s="4" t="s">
        <v>21</v>
      </c>
      <c r="C9" s="4" t="s">
        <v>22</v>
      </c>
      <c r="D9" s="4" t="s">
        <v>19</v>
      </c>
      <c r="E9" s="4" t="s">
        <v>23</v>
      </c>
      <c r="F9" s="4" t="s">
        <v>24</v>
      </c>
    </row>
    <row r="10" customFormat="false" ht="21.75" hidden="false" customHeight="true" outlineLevel="0" collapsed="false">
      <c r="A10" s="4" t="n">
        <v>5</v>
      </c>
      <c r="B10" s="4" t="s">
        <v>25</v>
      </c>
      <c r="C10" s="4" t="s">
        <v>26</v>
      </c>
      <c r="D10" s="4" t="s">
        <v>27</v>
      </c>
      <c r="E10" s="4" t="s">
        <v>12</v>
      </c>
      <c r="F10" s="4" t="s">
        <v>28</v>
      </c>
    </row>
    <row r="11" customFormat="false" ht="21.75" hidden="false" customHeight="true" outlineLevel="0" collapsed="false">
      <c r="A11" s="4" t="n">
        <v>6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customFormat="false" ht="21.75" hidden="false" customHeight="true" outlineLevel="0" collapsed="false">
      <c r="A12" s="4" t="n">
        <v>7</v>
      </c>
      <c r="B12" s="4" t="s">
        <v>34</v>
      </c>
      <c r="C12" s="4" t="s">
        <v>30</v>
      </c>
      <c r="D12" s="4" t="s">
        <v>35</v>
      </c>
      <c r="E12" s="4" t="s">
        <v>32</v>
      </c>
      <c r="F12" s="4" t="s">
        <v>36</v>
      </c>
    </row>
    <row r="13" customFormat="false" ht="21.75" hidden="false" customHeight="true" outlineLevel="0" collapsed="false">
      <c r="A13" s="4" t="n">
        <v>8</v>
      </c>
      <c r="B13" s="4" t="s">
        <v>37</v>
      </c>
      <c r="C13" s="4" t="s">
        <v>38</v>
      </c>
      <c r="D13" s="4" t="s">
        <v>39</v>
      </c>
      <c r="E13" s="4" t="s">
        <v>32</v>
      </c>
      <c r="F13" s="4" t="s">
        <v>40</v>
      </c>
    </row>
    <row r="14" customFormat="false" ht="21.75" hidden="false" customHeight="true" outlineLevel="0" collapsed="false">
      <c r="A14" s="4" t="n">
        <v>9</v>
      </c>
      <c r="B14" s="4" t="s">
        <v>41</v>
      </c>
      <c r="C14" s="4" t="s">
        <v>38</v>
      </c>
      <c r="D14" s="4" t="s">
        <v>42</v>
      </c>
      <c r="E14" s="4" t="s">
        <v>32</v>
      </c>
      <c r="F14" s="4" t="s">
        <v>43</v>
      </c>
    </row>
    <row r="15" customFormat="false" ht="21.75" hidden="false" customHeight="true" outlineLevel="0" collapsed="false">
      <c r="A15" s="4" t="n">
        <v>10</v>
      </c>
      <c r="B15" s="4" t="s">
        <v>44</v>
      </c>
      <c r="C15" s="4" t="s">
        <v>45</v>
      </c>
      <c r="D15" s="4" t="s">
        <v>46</v>
      </c>
      <c r="E15" s="4" t="s">
        <v>47</v>
      </c>
      <c r="F15" s="4" t="s">
        <v>48</v>
      </c>
    </row>
    <row r="16" customFormat="false" ht="21.75" hidden="false" customHeight="true" outlineLevel="0" collapsed="false">
      <c r="A16" s="4" t="n">
        <v>11</v>
      </c>
      <c r="B16" s="4" t="s">
        <v>49</v>
      </c>
      <c r="C16" s="4" t="s">
        <v>38</v>
      </c>
      <c r="D16" s="4" t="s">
        <v>50</v>
      </c>
      <c r="E16" s="4" t="s">
        <v>47</v>
      </c>
      <c r="F16" s="4" t="s">
        <v>51</v>
      </c>
    </row>
    <row r="17" customFormat="false" ht="21.75" hidden="false" customHeight="true" outlineLevel="0" collapsed="false">
      <c r="A17" s="4" t="n">
        <v>12</v>
      </c>
      <c r="B17" s="4" t="s">
        <v>52</v>
      </c>
      <c r="C17" s="4" t="s">
        <v>30</v>
      </c>
      <c r="D17" s="4" t="s">
        <v>53</v>
      </c>
      <c r="E17" s="4" t="s">
        <v>47</v>
      </c>
      <c r="F17" s="4" t="s">
        <v>54</v>
      </c>
    </row>
    <row r="18" customFormat="false" ht="21.75" hidden="false" customHeight="true" outlineLevel="0" collapsed="false">
      <c r="A18" s="4" t="n">
        <v>13</v>
      </c>
      <c r="B18" s="4" t="s">
        <v>55</v>
      </c>
      <c r="C18" s="4" t="s">
        <v>38</v>
      </c>
      <c r="D18" s="4" t="s">
        <v>56</v>
      </c>
      <c r="E18" s="4" t="s">
        <v>57</v>
      </c>
      <c r="F18" s="4" t="s">
        <v>58</v>
      </c>
    </row>
    <row r="19" customFormat="false" ht="21.75" hidden="false" customHeight="true" outlineLevel="0" collapsed="false">
      <c r="A19" s="4" t="n">
        <v>14</v>
      </c>
      <c r="B19" s="4" t="s">
        <v>59</v>
      </c>
      <c r="C19" s="4" t="s">
        <v>30</v>
      </c>
      <c r="D19" s="4" t="s">
        <v>60</v>
      </c>
      <c r="E19" s="4" t="s">
        <v>57</v>
      </c>
      <c r="F19" s="4" t="s">
        <v>61</v>
      </c>
    </row>
    <row r="20" customFormat="false" ht="21.75" hidden="false" customHeight="true" outlineLevel="0" collapsed="false">
      <c r="A20" s="4" t="n">
        <v>15</v>
      </c>
      <c r="B20" s="4" t="s">
        <v>62</v>
      </c>
      <c r="C20" s="4" t="s">
        <v>26</v>
      </c>
      <c r="D20" s="4" t="s">
        <v>63</v>
      </c>
      <c r="E20" s="4" t="s">
        <v>57</v>
      </c>
      <c r="F20" s="4" t="s">
        <v>64</v>
      </c>
    </row>
    <row r="21" customFormat="false" ht="21.75" hidden="false" customHeight="true" outlineLevel="0" collapsed="false">
      <c r="A21" s="4" t="n">
        <v>16</v>
      </c>
      <c r="B21" s="4" t="s">
        <v>65</v>
      </c>
      <c r="C21" s="4" t="s">
        <v>66</v>
      </c>
      <c r="D21" s="4" t="s">
        <v>67</v>
      </c>
      <c r="E21" s="4" t="s">
        <v>57</v>
      </c>
      <c r="F21" s="4" t="s">
        <v>68</v>
      </c>
    </row>
    <row r="22" customFormat="false" ht="21.75" hidden="false" customHeight="true" outlineLevel="0" collapsed="false">
      <c r="A22" s="4" t="n">
        <v>17</v>
      </c>
      <c r="B22" s="4" t="s">
        <v>69</v>
      </c>
      <c r="C22" s="4" t="s">
        <v>30</v>
      </c>
      <c r="D22" s="4" t="s">
        <v>70</v>
      </c>
      <c r="E22" s="4" t="s">
        <v>71</v>
      </c>
      <c r="F22" s="4" t="s">
        <v>72</v>
      </c>
    </row>
    <row r="23" customFormat="false" ht="21.75" hidden="false" customHeight="true" outlineLevel="0" collapsed="false">
      <c r="A23" s="4" t="n">
        <v>18</v>
      </c>
      <c r="B23" s="4" t="s">
        <v>73</v>
      </c>
      <c r="C23" s="4" t="s">
        <v>26</v>
      </c>
      <c r="D23" s="4" t="s">
        <v>74</v>
      </c>
      <c r="E23" s="4" t="s">
        <v>75</v>
      </c>
      <c r="F23" s="4" t="s">
        <v>76</v>
      </c>
    </row>
    <row r="24" customFormat="false" ht="21.75" hidden="false" customHeight="true" outlineLevel="0" collapsed="false">
      <c r="A24" s="4" t="n">
        <v>19</v>
      </c>
      <c r="B24" s="4" t="s">
        <v>77</v>
      </c>
      <c r="C24" s="4" t="s">
        <v>78</v>
      </c>
      <c r="D24" s="4" t="s">
        <v>79</v>
      </c>
      <c r="E24" s="4" t="s">
        <v>71</v>
      </c>
      <c r="F24" s="4" t="s">
        <v>80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9</v>
      </c>
      <c r="B1" s="1"/>
    </row>
    <row r="2" customFormat="false" ht="30" hidden="false" customHeight="true" outlineLevel="0" collapsed="false">
      <c r="A2" s="5" t="s">
        <v>81</v>
      </c>
      <c r="B2" s="5"/>
    </row>
    <row r="3" customFormat="false" ht="27.75" hidden="false" customHeight="true" outlineLevel="0" collapsed="false">
      <c r="A3" s="6" t="s">
        <v>82</v>
      </c>
      <c r="B3" s="7" t="s">
        <v>83</v>
      </c>
    </row>
    <row r="4" customFormat="false" ht="27.75" hidden="false" customHeight="true" outlineLevel="0" collapsed="false">
      <c r="A4" s="6" t="s">
        <v>84</v>
      </c>
      <c r="B4" s="7" t="s">
        <v>85</v>
      </c>
    </row>
    <row r="5" customFormat="false" ht="27.75" hidden="false" customHeight="true" outlineLevel="0" collapsed="false">
      <c r="A5" s="6" t="s">
        <v>86</v>
      </c>
      <c r="B5" s="7" t="s">
        <v>87</v>
      </c>
    </row>
    <row r="6" customFormat="false" ht="27.75" hidden="false" customHeight="true" outlineLevel="0" collapsed="false">
      <c r="A6" s="6" t="s">
        <v>88</v>
      </c>
      <c r="B6" s="7" t="s">
        <v>89</v>
      </c>
    </row>
    <row r="7" customFormat="false" ht="27.75" hidden="false" customHeight="true" outlineLevel="0" collapsed="false">
      <c r="A7" s="6" t="s">
        <v>90</v>
      </c>
      <c r="B7" s="7" t="s">
        <v>91</v>
      </c>
    </row>
    <row r="8" customFormat="false" ht="27.75" hidden="false" customHeight="true" outlineLevel="0" collapsed="false">
      <c r="A8" s="6" t="s">
        <v>92</v>
      </c>
      <c r="B8" s="7" t="s">
        <v>93</v>
      </c>
    </row>
    <row r="9" customFormat="false" ht="27.75" hidden="false" customHeight="true" outlineLevel="0" collapsed="false">
      <c r="A9" s="6" t="s">
        <v>94</v>
      </c>
      <c r="B9" s="7" t="s">
        <v>95</v>
      </c>
    </row>
    <row r="10" customFormat="false" ht="27.75" hidden="false" customHeight="true" outlineLevel="0" collapsed="false">
      <c r="A10" s="6" t="s">
        <v>96</v>
      </c>
      <c r="B10" s="7" t="s">
        <v>97</v>
      </c>
    </row>
    <row r="11" customFormat="false" ht="27.75" hidden="false" customHeight="true" outlineLevel="0" collapsed="false">
      <c r="A11" s="6" t="s">
        <v>98</v>
      </c>
      <c r="B11" s="7" t="s">
        <v>99</v>
      </c>
    </row>
    <row r="12" customFormat="false" ht="27.75" hidden="false" customHeight="true" outlineLevel="0" collapsed="false">
      <c r="A12" s="6" t="s">
        <v>100</v>
      </c>
      <c r="B12" s="7" t="s">
        <v>101</v>
      </c>
    </row>
    <row r="13" customFormat="false" ht="27.75" hidden="false" customHeight="true" outlineLevel="0" collapsed="false">
      <c r="A13" s="6" t="s">
        <v>102</v>
      </c>
      <c r="B13" s="7" t="s">
        <v>103</v>
      </c>
    </row>
    <row r="14" customFormat="false" ht="27.75" hidden="false" customHeight="true" outlineLevel="0" collapsed="false">
      <c r="A14" s="6" t="s">
        <v>104</v>
      </c>
      <c r="B14" s="7" t="s">
        <v>105</v>
      </c>
    </row>
    <row r="15" customFormat="false" ht="27.75" hidden="false" customHeight="true" outlineLevel="0" collapsed="false">
      <c r="A15" s="6" t="s">
        <v>106</v>
      </c>
      <c r="B15" s="7" t="s">
        <v>107</v>
      </c>
    </row>
    <row r="16" customFormat="false" ht="27.75" hidden="false" customHeight="true" outlineLevel="0" collapsed="false">
      <c r="A16" s="6" t="s">
        <v>108</v>
      </c>
      <c r="B16" s="7" t="s">
        <v>109</v>
      </c>
    </row>
    <row r="17" customFormat="false" ht="27.75" hidden="false" customHeight="true" outlineLevel="0" collapsed="false">
      <c r="A17" s="6" t="s">
        <v>110</v>
      </c>
      <c r="B17" s="7" t="s">
        <v>111</v>
      </c>
    </row>
    <row r="18" customFormat="false" ht="27.75" hidden="false" customHeight="true" outlineLevel="0" collapsed="false">
      <c r="A18" s="6" t="s">
        <v>112</v>
      </c>
      <c r="B18" s="7" t="s">
        <v>113</v>
      </c>
    </row>
    <row r="19" customFormat="false" ht="27.75" hidden="false" customHeight="true" outlineLevel="0" collapsed="false">
      <c r="A19" s="6" t="s">
        <v>114</v>
      </c>
      <c r="B19" s="7" t="s">
        <v>115</v>
      </c>
    </row>
    <row r="20" customFormat="false" ht="27.75" hidden="false" customHeight="true" outlineLevel="0" collapsed="false">
      <c r="A20" s="6" t="s">
        <v>116</v>
      </c>
      <c r="B20" s="7" t="s">
        <v>117</v>
      </c>
    </row>
    <row r="21" customFormat="false" ht="27.75" hidden="false" customHeight="true" outlineLevel="0" collapsed="false">
      <c r="A21" s="6" t="s">
        <v>118</v>
      </c>
      <c r="B21" s="7" t="s">
        <v>119</v>
      </c>
    </row>
    <row r="22" customFormat="false" ht="27.75" hidden="false" customHeight="true" outlineLevel="0" collapsed="false">
      <c r="A22" s="6" t="s">
        <v>120</v>
      </c>
      <c r="B22" s="7" t="s">
        <v>121</v>
      </c>
    </row>
    <row r="23" customFormat="false" ht="27.75" hidden="false" customHeight="true" outlineLevel="0" collapsed="false">
      <c r="A23" s="6" t="s">
        <v>122</v>
      </c>
      <c r="B23" s="7" t="s">
        <v>123</v>
      </c>
    </row>
    <row r="24" customFormat="false" ht="27.75" hidden="false" customHeight="true" outlineLevel="0" collapsed="false">
      <c r="A24" s="6" t="s">
        <v>124</v>
      </c>
      <c r="B24" s="7" t="s">
        <v>125</v>
      </c>
    </row>
    <row r="25" customFormat="false" ht="27.75" hidden="false" customHeight="true" outlineLevel="0" collapsed="false">
      <c r="A25" s="6" t="s">
        <v>126</v>
      </c>
      <c r="B25" s="7" t="s">
        <v>127</v>
      </c>
    </row>
    <row r="26" customFormat="false" ht="27.75" hidden="false" customHeight="true" outlineLevel="0" collapsed="false">
      <c r="A26" s="6" t="s">
        <v>128</v>
      </c>
      <c r="B26" s="7" t="s">
        <v>129</v>
      </c>
    </row>
    <row r="27" customFormat="false" ht="27.75" hidden="false" customHeight="true" outlineLevel="0" collapsed="false">
      <c r="A27" s="6" t="s">
        <v>130</v>
      </c>
      <c r="B27" s="7" t="s">
        <v>131</v>
      </c>
    </row>
    <row r="28" customFormat="false" ht="27.75" hidden="false" customHeight="true" outlineLevel="0" collapsed="false">
      <c r="A28" s="6" t="s">
        <v>132</v>
      </c>
      <c r="B28" s="7" t="s">
        <v>133</v>
      </c>
    </row>
    <row r="29" customFormat="false" ht="27.75" hidden="false" customHeight="true" outlineLevel="0" collapsed="false">
      <c r="A29" s="6" t="s">
        <v>134</v>
      </c>
      <c r="B29" s="7" t="s">
        <v>135</v>
      </c>
    </row>
    <row r="30" customFormat="false" ht="27.75" hidden="false" customHeight="true" outlineLevel="0" collapsed="false">
      <c r="A30" s="6" t="s">
        <v>136</v>
      </c>
      <c r="B30" s="7" t="s">
        <v>137</v>
      </c>
    </row>
    <row r="31" customFormat="false" ht="27.75" hidden="false" customHeight="true" outlineLevel="0" collapsed="false">
      <c r="A31" s="6" t="s">
        <v>138</v>
      </c>
      <c r="B31" s="7" t="s">
        <v>139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14</v>
      </c>
      <c r="B1" s="1"/>
    </row>
    <row r="2" customFormat="false" ht="30" hidden="false" customHeight="true" outlineLevel="0" collapsed="false">
      <c r="A2" s="5" t="s">
        <v>140</v>
      </c>
      <c r="B2" s="5"/>
    </row>
    <row r="3" customFormat="false" ht="27.75" hidden="false" customHeight="true" outlineLevel="0" collapsed="false">
      <c r="A3" s="6" t="s">
        <v>141</v>
      </c>
      <c r="B3" s="7" t="s">
        <v>142</v>
      </c>
    </row>
    <row r="4" customFormat="false" ht="27.75" hidden="false" customHeight="true" outlineLevel="0" collapsed="false">
      <c r="A4" s="6" t="s">
        <v>143</v>
      </c>
      <c r="B4" s="7" t="s">
        <v>87</v>
      </c>
    </row>
    <row r="5" customFormat="false" ht="27.75" hidden="false" customHeight="true" outlineLevel="0" collapsed="false">
      <c r="A5" s="6" t="s">
        <v>92</v>
      </c>
      <c r="B5" s="7" t="s">
        <v>144</v>
      </c>
    </row>
    <row r="6" customFormat="false" ht="27.75" hidden="false" customHeight="true" outlineLevel="0" collapsed="false">
      <c r="A6" s="6" t="s">
        <v>94</v>
      </c>
      <c r="B6" s="7" t="s">
        <v>145</v>
      </c>
    </row>
    <row r="7" customFormat="false" ht="27.75" hidden="false" customHeight="true" outlineLevel="0" collapsed="false">
      <c r="A7" s="6" t="s">
        <v>146</v>
      </c>
      <c r="B7" s="7" t="s">
        <v>147</v>
      </c>
    </row>
    <row r="8" customFormat="false" ht="27.75" hidden="false" customHeight="true" outlineLevel="0" collapsed="false">
      <c r="A8" s="6" t="s">
        <v>148</v>
      </c>
      <c r="B8" s="7" t="s">
        <v>149</v>
      </c>
    </row>
    <row r="9" customFormat="false" ht="27.75" hidden="false" customHeight="true" outlineLevel="0" collapsed="false">
      <c r="A9" s="6" t="s">
        <v>150</v>
      </c>
      <c r="B9" s="7" t="s">
        <v>151</v>
      </c>
    </row>
    <row r="10" customFormat="false" ht="27.75" hidden="false" customHeight="true" outlineLevel="0" collapsed="false">
      <c r="A10" s="6" t="s">
        <v>152</v>
      </c>
      <c r="B10" s="7" t="s">
        <v>153</v>
      </c>
    </row>
    <row r="11" customFormat="false" ht="27.75" hidden="false" customHeight="true" outlineLevel="0" collapsed="false">
      <c r="A11" s="6" t="s">
        <v>154</v>
      </c>
      <c r="B11" s="7" t="s">
        <v>155</v>
      </c>
    </row>
    <row r="12" customFormat="false" ht="27.75" hidden="false" customHeight="true" outlineLevel="0" collapsed="false">
      <c r="A12" s="6" t="s">
        <v>156</v>
      </c>
      <c r="B12" s="7" t="s">
        <v>157</v>
      </c>
    </row>
    <row r="13" customFormat="false" ht="27.75" hidden="false" customHeight="true" outlineLevel="0" collapsed="false">
      <c r="A13" s="6" t="s">
        <v>158</v>
      </c>
      <c r="B13" s="7" t="s">
        <v>159</v>
      </c>
    </row>
    <row r="14" customFormat="false" ht="27.75" hidden="false" customHeight="true" outlineLevel="0" collapsed="false">
      <c r="A14" s="6" t="s">
        <v>160</v>
      </c>
      <c r="B14" s="7" t="s">
        <v>161</v>
      </c>
    </row>
    <row r="15" customFormat="false" ht="27.75" hidden="false" customHeight="true" outlineLevel="0" collapsed="false">
      <c r="A15" s="6" t="s">
        <v>162</v>
      </c>
      <c r="B15" s="7" t="s">
        <v>163</v>
      </c>
    </row>
    <row r="16" customFormat="false" ht="27.75" hidden="false" customHeight="true" outlineLevel="0" collapsed="false">
      <c r="A16" s="6" t="s">
        <v>164</v>
      </c>
      <c r="B16" s="7" t="s">
        <v>165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8" t="s">
        <v>166</v>
      </c>
      <c r="B1" s="8"/>
      <c r="C1" s="8"/>
      <c r="D1" s="8"/>
      <c r="E1" s="8"/>
      <c r="F1" s="8"/>
    </row>
    <row r="2" customFormat="false" ht="30" hidden="false" customHeight="true" outlineLevel="0" collapsed="false">
      <c r="A2" s="5" t="s">
        <v>167</v>
      </c>
      <c r="B2" s="5"/>
      <c r="C2" s="5"/>
      <c r="D2" s="5"/>
      <c r="E2" s="5"/>
      <c r="F2" s="5"/>
    </row>
    <row r="3" customFormat="false" ht="31.5" hidden="false" customHeight="true" outlineLevel="0" collapsed="false">
      <c r="A3" s="3" t="s">
        <v>168</v>
      </c>
      <c r="B3" s="3" t="s">
        <v>169</v>
      </c>
      <c r="C3" s="3" t="s">
        <v>170</v>
      </c>
      <c r="D3" s="3" t="s">
        <v>171</v>
      </c>
      <c r="E3" s="3" t="s">
        <v>172</v>
      </c>
      <c r="F3" s="3" t="s">
        <v>173</v>
      </c>
    </row>
    <row r="4" customFormat="false" ht="45" hidden="false" customHeight="true" outlineLevel="0" collapsed="false">
      <c r="A4" s="7" t="s">
        <v>174</v>
      </c>
      <c r="B4" s="7" t="s">
        <v>175</v>
      </c>
      <c r="C4" s="7" t="s">
        <v>176</v>
      </c>
      <c r="D4" s="7" t="s">
        <v>177</v>
      </c>
      <c r="E4" s="7" t="s">
        <v>178</v>
      </c>
      <c r="F4" s="7" t="s">
        <v>179</v>
      </c>
    </row>
    <row r="5" customFormat="false" ht="30" hidden="false" customHeight="true" outlineLevel="0" collapsed="false">
      <c r="A5" s="4" t="s">
        <v>180</v>
      </c>
      <c r="B5" s="4" t="s">
        <v>181</v>
      </c>
      <c r="C5" s="4" t="s">
        <v>182</v>
      </c>
      <c r="D5" s="4" t="s">
        <v>183</v>
      </c>
      <c r="E5" s="4" t="s">
        <v>184</v>
      </c>
      <c r="F5" s="4"/>
    </row>
    <row r="6" customFormat="false" ht="30" hidden="false" customHeight="true" outlineLevel="0" collapsed="false">
      <c r="A6" s="4" t="s">
        <v>185</v>
      </c>
      <c r="B6" s="4" t="s">
        <v>186</v>
      </c>
      <c r="C6" s="4" t="s">
        <v>187</v>
      </c>
      <c r="D6" s="4" t="s">
        <v>177</v>
      </c>
      <c r="E6" s="4" t="s">
        <v>188</v>
      </c>
      <c r="F6" s="4"/>
    </row>
    <row r="7" customFormat="false" ht="30" hidden="false" customHeight="true" outlineLevel="0" collapsed="false">
      <c r="A7" s="4" t="s">
        <v>189</v>
      </c>
      <c r="B7" s="4" t="s">
        <v>190</v>
      </c>
      <c r="C7" s="4" t="s">
        <v>191</v>
      </c>
      <c r="D7" s="4" t="s">
        <v>177</v>
      </c>
      <c r="E7" s="4" t="s">
        <v>192</v>
      </c>
      <c r="F7" s="4"/>
    </row>
    <row r="8" customFormat="false" ht="30" hidden="false" customHeight="true" outlineLevel="0" collapsed="false">
      <c r="A8" s="4" t="s">
        <v>193</v>
      </c>
      <c r="B8" s="4" t="s">
        <v>75</v>
      </c>
      <c r="C8" s="4" t="s">
        <v>194</v>
      </c>
      <c r="D8" s="4" t="s">
        <v>177</v>
      </c>
      <c r="E8" s="4" t="s">
        <v>195</v>
      </c>
      <c r="F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21</v>
      </c>
      <c r="B1" s="1"/>
    </row>
    <row r="2" customFormat="false" ht="30" hidden="false" customHeight="true" outlineLevel="0" collapsed="false">
      <c r="A2" s="5" t="s">
        <v>196</v>
      </c>
      <c r="B2" s="5"/>
    </row>
    <row r="3" customFormat="false" ht="27.75" hidden="false" customHeight="true" outlineLevel="0" collapsed="false">
      <c r="A3" s="6" t="s">
        <v>197</v>
      </c>
      <c r="B3" s="7" t="s">
        <v>198</v>
      </c>
    </row>
    <row r="4" customFormat="false" ht="27.75" hidden="false" customHeight="true" outlineLevel="0" collapsed="false">
      <c r="A4" s="6" t="s">
        <v>199</v>
      </c>
      <c r="B4" s="7" t="s">
        <v>200</v>
      </c>
    </row>
    <row r="5" customFormat="false" ht="27.75" hidden="false" customHeight="true" outlineLevel="0" collapsed="false">
      <c r="A5" s="6" t="s">
        <v>201</v>
      </c>
      <c r="B5" s="7" t="s">
        <v>202</v>
      </c>
    </row>
    <row r="6" customFormat="false" ht="27.75" hidden="false" customHeight="true" outlineLevel="0" collapsed="false">
      <c r="A6" s="6" t="s">
        <v>203</v>
      </c>
      <c r="B6" s="7" t="s">
        <v>204</v>
      </c>
    </row>
    <row r="7" customFormat="false" ht="27.75" hidden="false" customHeight="true" outlineLevel="0" collapsed="false">
      <c r="A7" s="6" t="s">
        <v>205</v>
      </c>
      <c r="B7" s="7" t="s">
        <v>206</v>
      </c>
    </row>
    <row r="8" customFormat="false" ht="27.75" hidden="false" customHeight="true" outlineLevel="0" collapsed="false">
      <c r="A8" s="6" t="s">
        <v>207</v>
      </c>
      <c r="B8" s="7" t="s">
        <v>208</v>
      </c>
    </row>
    <row r="9" customFormat="false" ht="27.75" hidden="false" customHeight="true" outlineLevel="0" collapsed="false">
      <c r="A9" s="6" t="s">
        <v>209</v>
      </c>
      <c r="B9" s="7" t="s">
        <v>210</v>
      </c>
    </row>
    <row r="10" customFormat="false" ht="27.75" hidden="false" customHeight="true" outlineLevel="0" collapsed="false">
      <c r="A10" s="6" t="s">
        <v>211</v>
      </c>
      <c r="B10" s="7" t="s">
        <v>212</v>
      </c>
    </row>
    <row r="11" customFormat="false" ht="27.75" hidden="false" customHeight="true" outlineLevel="0" collapsed="false">
      <c r="A11" s="6" t="s">
        <v>213</v>
      </c>
      <c r="B11" s="7" t="s">
        <v>214</v>
      </c>
    </row>
    <row r="12" customFormat="false" ht="27.75" hidden="false" customHeight="true" outlineLevel="0" collapsed="false">
      <c r="A12" s="6" t="s">
        <v>215</v>
      </c>
      <c r="B12" s="4"/>
    </row>
    <row r="13" customFormat="false" ht="27.75" hidden="false" customHeight="true" outlineLevel="0" collapsed="false">
      <c r="A13" s="6" t="s">
        <v>216</v>
      </c>
      <c r="B13" s="7" t="s">
        <v>217</v>
      </c>
    </row>
    <row r="14" customFormat="false" ht="27.75" hidden="false" customHeight="true" outlineLevel="0" collapsed="false">
      <c r="A14" s="6" t="s">
        <v>218</v>
      </c>
      <c r="B14" s="7" t="s">
        <v>219</v>
      </c>
    </row>
    <row r="15" customFormat="false" ht="27.75" hidden="false" customHeight="true" outlineLevel="0" collapsed="false">
      <c r="A15" s="6" t="s">
        <v>220</v>
      </c>
      <c r="B15" s="4"/>
    </row>
    <row r="16" customFormat="false" ht="27.75" hidden="false" customHeight="true" outlineLevel="0" collapsed="false">
      <c r="A16" s="6" t="s">
        <v>221</v>
      </c>
      <c r="B16" s="7" t="s">
        <v>222</v>
      </c>
    </row>
    <row r="17" customFormat="false" ht="27.75" hidden="false" customHeight="true" outlineLevel="0" collapsed="false">
      <c r="A17" s="6" t="s">
        <v>223</v>
      </c>
      <c r="B17" s="7" t="s">
        <v>224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4" min="3" style="0" width="35"/>
  </cols>
  <sheetData>
    <row r="1" customFormat="false" ht="25.5" hidden="false" customHeight="true" outlineLevel="0" collapsed="false">
      <c r="A1" s="8" t="s">
        <v>25</v>
      </c>
      <c r="B1" s="8"/>
      <c r="C1" s="8"/>
      <c r="D1" s="8"/>
    </row>
    <row r="2" customFormat="false" ht="30" hidden="false" customHeight="true" outlineLevel="0" collapsed="false">
      <c r="A2" s="5" t="s">
        <v>225</v>
      </c>
      <c r="B2" s="5"/>
      <c r="C2" s="5"/>
      <c r="D2" s="5"/>
    </row>
    <row r="3" customFormat="false" ht="31.5" hidden="false" customHeight="true" outlineLevel="0" collapsed="false">
      <c r="A3" s="3" t="s">
        <v>3</v>
      </c>
      <c r="B3" s="3" t="s">
        <v>226</v>
      </c>
      <c r="C3" s="3" t="s">
        <v>78</v>
      </c>
      <c r="D3" s="3" t="s">
        <v>227</v>
      </c>
    </row>
    <row r="4" customFormat="false" ht="31.5" hidden="false" customHeight="true" outlineLevel="0" collapsed="false">
      <c r="A4" s="7" t="n">
        <v>1</v>
      </c>
      <c r="B4" s="7" t="s">
        <v>228</v>
      </c>
      <c r="C4" s="7" t="s">
        <v>229</v>
      </c>
      <c r="D4" s="7"/>
    </row>
    <row r="5" customFormat="false" ht="31.5" hidden="false" customHeight="true" outlineLevel="0" collapsed="false">
      <c r="A5" s="7" t="n">
        <v>2</v>
      </c>
      <c r="B5" s="7" t="s">
        <v>230</v>
      </c>
      <c r="C5" s="7" t="s">
        <v>231</v>
      </c>
      <c r="D5" s="7"/>
    </row>
    <row r="6" customFormat="false" ht="31.5" hidden="false" customHeight="true" outlineLevel="0" collapsed="false">
      <c r="A6" s="7" t="n">
        <v>3</v>
      </c>
      <c r="B6" s="7" t="s">
        <v>232</v>
      </c>
      <c r="C6" s="7" t="s">
        <v>233</v>
      </c>
      <c r="D6" s="7"/>
    </row>
    <row r="7" customFormat="false" ht="31.5" hidden="false" customHeight="true" outlineLevel="0" collapsed="false">
      <c r="A7" s="7" t="n">
        <v>4</v>
      </c>
      <c r="B7" s="7" t="s">
        <v>234</v>
      </c>
      <c r="C7" s="7" t="s">
        <v>235</v>
      </c>
      <c r="D7" s="7"/>
    </row>
    <row r="8" customFormat="false" ht="31.5" hidden="false" customHeight="true" outlineLevel="0" collapsed="false">
      <c r="A8" s="7" t="n">
        <v>5</v>
      </c>
      <c r="B8" s="7" t="s">
        <v>236</v>
      </c>
      <c r="C8" s="7" t="s">
        <v>237</v>
      </c>
      <c r="D8" s="7"/>
    </row>
    <row r="9" customFormat="false" ht="31.5" hidden="false" customHeight="true" outlineLevel="0" collapsed="false">
      <c r="A9" s="7" t="n">
        <v>6</v>
      </c>
      <c r="B9" s="7" t="s">
        <v>238</v>
      </c>
      <c r="C9" s="7" t="s">
        <v>239</v>
      </c>
      <c r="D9" s="7"/>
    </row>
    <row r="10" customFormat="false" ht="31.5" hidden="false" customHeight="true" outlineLevel="0" collapsed="false">
      <c r="A10" s="7" t="n">
        <v>7</v>
      </c>
      <c r="B10" s="7" t="s">
        <v>240</v>
      </c>
      <c r="C10" s="7" t="s">
        <v>241</v>
      </c>
      <c r="D10" s="7"/>
    </row>
    <row r="11" customFormat="false" ht="31.5" hidden="false" customHeight="true" outlineLevel="0" collapsed="false">
      <c r="A11" s="7" t="n">
        <v>8</v>
      </c>
      <c r="B11" s="7" t="s">
        <v>242</v>
      </c>
      <c r="C11" s="7" t="s">
        <v>243</v>
      </c>
      <c r="D11" s="7"/>
    </row>
    <row r="12" customFormat="false" ht="31.5" hidden="false" customHeight="true" outlineLevel="0" collapsed="false">
      <c r="A12" s="7" t="n">
        <v>9</v>
      </c>
      <c r="B12" s="7" t="s">
        <v>244</v>
      </c>
      <c r="C12" s="7" t="s">
        <v>245</v>
      </c>
      <c r="D12" s="7"/>
    </row>
    <row r="13" customFormat="false" ht="31.5" hidden="false" customHeight="true" outlineLevel="0" collapsed="false">
      <c r="A13" s="7" t="n">
        <v>10</v>
      </c>
      <c r="B13" s="7" t="s">
        <v>246</v>
      </c>
      <c r="C13" s="7" t="s">
        <v>247</v>
      </c>
      <c r="D13" s="7"/>
    </row>
    <row r="14" customFormat="false" ht="21.75" hidden="false" customHeight="true" outlineLevel="0" collapsed="false">
      <c r="A14" s="4"/>
      <c r="B14" s="4"/>
      <c r="C14" s="4"/>
      <c r="D14" s="4"/>
    </row>
    <row r="15" customFormat="false" ht="21.75" hidden="false" customHeight="true" outlineLevel="0" collapsed="false">
      <c r="A15" s="4"/>
      <c r="B15" s="4"/>
      <c r="C15" s="4"/>
      <c r="D15" s="4"/>
    </row>
    <row r="16" customFormat="false" ht="21.75" hidden="false" customHeight="true" outlineLevel="0" collapsed="false">
      <c r="A16" s="4"/>
      <c r="B16" s="4"/>
      <c r="C16" s="4"/>
      <c r="D16" s="4"/>
    </row>
    <row r="17" customFormat="false" ht="21.75" hidden="false" customHeight="true" outlineLevel="0" collapsed="false">
      <c r="A17" s="4"/>
      <c r="B17" s="4"/>
      <c r="C17" s="4"/>
      <c r="D17" s="4"/>
    </row>
    <row r="18" customFormat="false" ht="21.75" hidden="false" customHeight="true" outlineLevel="0" collapsed="false">
      <c r="A18" s="4"/>
      <c r="B18" s="4"/>
      <c r="C18" s="4"/>
      <c r="D18" s="4"/>
    </row>
    <row r="19" customFormat="false" ht="21.75" hidden="false" customHeight="true" outlineLevel="0" collapsed="false">
      <c r="A19" s="4"/>
      <c r="B19" s="4"/>
      <c r="C19" s="4"/>
      <c r="D19" s="4"/>
    </row>
    <row r="20" customFormat="false" ht="21.75" hidden="false" customHeight="true" outlineLevel="0" collapsed="false">
      <c r="A20" s="4"/>
      <c r="B20" s="4"/>
      <c r="C20" s="4"/>
      <c r="D20" s="4"/>
    </row>
    <row r="21" customFormat="false" ht="21.75" hidden="false" customHeight="true" outlineLevel="0" collapsed="false">
      <c r="A21" s="4"/>
      <c r="B21" s="4"/>
      <c r="C21" s="4"/>
      <c r="D21" s="4"/>
    </row>
    <row r="22" customFormat="false" ht="21.75" hidden="false" customHeight="true" outlineLevel="0" collapsed="false">
      <c r="A22" s="4"/>
      <c r="B22" s="4"/>
      <c r="C22" s="4"/>
      <c r="D22" s="4"/>
    </row>
    <row r="23" customFormat="false" ht="21.75" hidden="false" customHeight="true" outlineLevel="0" collapsed="false">
      <c r="A23" s="4"/>
      <c r="B23" s="4"/>
      <c r="C23" s="4"/>
      <c r="D23" s="4"/>
    </row>
    <row r="24" customFormat="false" ht="21.75" hidden="false" customHeight="true" outlineLevel="0" collapsed="false">
      <c r="A24" s="4"/>
      <c r="B24" s="4"/>
      <c r="C24" s="4"/>
      <c r="D24" s="4"/>
    </row>
    <row r="25" customFormat="false" ht="21.75" hidden="false" customHeight="true" outlineLevel="0" collapsed="false">
      <c r="A25" s="4"/>
      <c r="B25" s="4"/>
      <c r="C25" s="4"/>
      <c r="D25" s="4"/>
    </row>
    <row r="26" customFormat="false" ht="21.75" hidden="false" customHeight="true" outlineLevel="0" collapsed="false">
      <c r="A26" s="4"/>
      <c r="B26" s="4"/>
      <c r="C26" s="4"/>
      <c r="D26" s="4"/>
    </row>
    <row r="27" customFormat="false" ht="21.75" hidden="false" customHeight="true" outlineLevel="0" collapsed="false">
      <c r="A27" s="4"/>
      <c r="B27" s="4"/>
      <c r="C27" s="4"/>
      <c r="D27" s="4"/>
    </row>
    <row r="28" customFormat="false" ht="21.75" hidden="false" customHeight="true" outlineLevel="0" collapsed="false">
      <c r="A28" s="4"/>
      <c r="B28" s="4"/>
      <c r="C28" s="4"/>
      <c r="D28" s="4"/>
    </row>
    <row r="29" customFormat="false" ht="21.75" hidden="false" customHeight="true" outlineLevel="0" collapsed="false">
      <c r="A29" s="4"/>
      <c r="B29" s="4"/>
      <c r="C29" s="4"/>
      <c r="D29" s="4"/>
    </row>
    <row r="30" customFormat="false" ht="21.75" hidden="false" customHeight="true" outlineLevel="0" collapsed="false">
      <c r="A30" s="4"/>
      <c r="B30" s="4"/>
      <c r="C30" s="4"/>
      <c r="D30" s="4"/>
    </row>
    <row r="31" customFormat="false" ht="21.75" hidden="false" customHeight="true" outlineLevel="0" collapsed="false">
      <c r="A31" s="4"/>
      <c r="B31" s="4"/>
      <c r="C31" s="4"/>
      <c r="D31" s="4"/>
    </row>
    <row r="32" customFormat="false" ht="21.75" hidden="false" customHeight="true" outlineLevel="0" collapsed="false">
      <c r="A32" s="4"/>
      <c r="B32" s="4"/>
      <c r="C32" s="4"/>
      <c r="D32" s="4"/>
    </row>
    <row r="33" customFormat="false" ht="21.75" hidden="false" customHeight="true" outlineLevel="0" collapsed="false">
      <c r="A33" s="4"/>
      <c r="B33" s="4"/>
      <c r="C33" s="4"/>
      <c r="D33" s="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2"/>
  </cols>
  <sheetData>
    <row r="1" customFormat="false" ht="25.5" hidden="false" customHeight="true" outlineLevel="0" collapsed="false">
      <c r="A1" s="8" t="s">
        <v>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30" hidden="false" customHeight="true" outlineLevel="0" collapsed="false">
      <c r="A2" s="5" t="s">
        <v>248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31.5" hidden="false" customHeight="true" outlineLevel="0" collapsed="false">
      <c r="A3" s="3" t="s">
        <v>249</v>
      </c>
      <c r="B3" s="3" t="s">
        <v>250</v>
      </c>
      <c r="C3" s="3" t="s">
        <v>251</v>
      </c>
      <c r="D3" s="3" t="s">
        <v>252</v>
      </c>
      <c r="E3" s="3" t="s">
        <v>253</v>
      </c>
      <c r="F3" s="3" t="s">
        <v>254</v>
      </c>
      <c r="G3" s="3" t="s">
        <v>255</v>
      </c>
      <c r="H3" s="3" t="s">
        <v>256</v>
      </c>
      <c r="I3" s="3" t="s">
        <v>257</v>
      </c>
      <c r="J3" s="3" t="s">
        <v>258</v>
      </c>
      <c r="K3" s="3" t="s">
        <v>259</v>
      </c>
      <c r="L3" s="3" t="s">
        <v>260</v>
      </c>
    </row>
    <row r="4" customFormat="false" ht="45" hidden="false" customHeight="true" outlineLevel="0" collapsed="false">
      <c r="A4" s="7" t="s">
        <v>261</v>
      </c>
      <c r="B4" s="7" t="s">
        <v>262</v>
      </c>
      <c r="C4" s="7" t="s">
        <v>263</v>
      </c>
      <c r="D4" s="7" t="s">
        <v>264</v>
      </c>
      <c r="E4" s="7" t="s">
        <v>265</v>
      </c>
      <c r="F4" s="7" t="s">
        <v>266</v>
      </c>
      <c r="G4" s="7" t="s">
        <v>267</v>
      </c>
      <c r="H4" s="7" t="s">
        <v>268</v>
      </c>
      <c r="I4" s="7" t="s">
        <v>269</v>
      </c>
      <c r="J4" s="7" t="s">
        <v>270</v>
      </c>
      <c r="K4" s="7" t="s">
        <v>271</v>
      </c>
      <c r="L4" s="7" t="s">
        <v>272</v>
      </c>
    </row>
    <row r="5" customFormat="false" ht="21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21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21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22"/>
  </cols>
  <sheetData>
    <row r="1" customFormat="false" ht="25.5" hidden="false" customHeight="true" outlineLevel="0" collapsed="false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0" hidden="false" customHeight="true" outlineLevel="0" collapsed="false">
      <c r="A2" s="5" t="s">
        <v>273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31.5" hidden="false" customHeight="true" outlineLevel="0" collapsed="false">
      <c r="A3" s="3" t="s">
        <v>274</v>
      </c>
      <c r="B3" s="3" t="s">
        <v>275</v>
      </c>
      <c r="C3" s="3" t="s">
        <v>276</v>
      </c>
      <c r="D3" s="3" t="s">
        <v>277</v>
      </c>
      <c r="E3" s="3" t="s">
        <v>278</v>
      </c>
      <c r="F3" s="3" t="s">
        <v>279</v>
      </c>
      <c r="G3" s="3" t="s">
        <v>280</v>
      </c>
      <c r="H3" s="3" t="s">
        <v>281</v>
      </c>
      <c r="I3" s="3" t="s">
        <v>282</v>
      </c>
      <c r="J3" s="3" t="s">
        <v>283</v>
      </c>
    </row>
    <row r="4" customFormat="false" ht="45" hidden="false" customHeight="true" outlineLevel="0" collapsed="false">
      <c r="A4" s="7" t="s">
        <v>261</v>
      </c>
      <c r="B4" s="7" t="s">
        <v>284</v>
      </c>
      <c r="C4" s="7" t="s">
        <v>285</v>
      </c>
      <c r="D4" s="7" t="s">
        <v>286</v>
      </c>
      <c r="E4" s="7" t="s">
        <v>287</v>
      </c>
      <c r="F4" s="7" t="s">
        <v>288</v>
      </c>
      <c r="G4" s="7" t="s">
        <v>269</v>
      </c>
      <c r="H4" s="7" t="s">
        <v>289</v>
      </c>
      <c r="I4" s="7" t="s">
        <v>290</v>
      </c>
      <c r="J4" s="7" t="s">
        <v>269</v>
      </c>
    </row>
    <row r="5" customFormat="false" ht="21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</row>
    <row r="7" customFormat="false" ht="21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</row>
    <row r="8" customFormat="false" ht="21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7" min="7" style="0" width="36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8" t="s">
        <v>37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5" t="s">
        <v>291</v>
      </c>
      <c r="B2" s="5"/>
      <c r="C2" s="5"/>
      <c r="D2" s="5"/>
      <c r="E2" s="5"/>
      <c r="F2" s="5"/>
      <c r="G2" s="5"/>
      <c r="H2" s="5"/>
    </row>
    <row r="3" customFormat="false" ht="31.5" hidden="false" customHeight="true" outlineLevel="0" collapsed="false">
      <c r="A3" s="3" t="s">
        <v>292</v>
      </c>
      <c r="B3" s="3" t="s">
        <v>293</v>
      </c>
      <c r="C3" s="3" t="s">
        <v>294</v>
      </c>
      <c r="D3" s="3" t="s">
        <v>295</v>
      </c>
      <c r="E3" s="3" t="s">
        <v>296</v>
      </c>
      <c r="F3" s="3" t="s">
        <v>297</v>
      </c>
      <c r="G3" s="3" t="s">
        <v>298</v>
      </c>
      <c r="H3" s="3" t="s">
        <v>299</v>
      </c>
    </row>
    <row r="4" customFormat="false" ht="45" hidden="false" customHeight="true" outlineLevel="0" collapsed="false">
      <c r="A4" s="7" t="s">
        <v>300</v>
      </c>
      <c r="B4" s="7" t="s">
        <v>301</v>
      </c>
      <c r="C4" s="7" t="s">
        <v>302</v>
      </c>
      <c r="D4" s="7" t="s">
        <v>303</v>
      </c>
      <c r="E4" s="7" t="s">
        <v>304</v>
      </c>
      <c r="F4" s="7"/>
      <c r="G4" s="7" t="s">
        <v>305</v>
      </c>
      <c r="H4" s="7" t="s">
        <v>272</v>
      </c>
    </row>
    <row r="5" customFormat="false" ht="21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1.75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21.7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2"/>
  </cols>
  <sheetData>
    <row r="1" customFormat="false" ht="25.5" hidden="false" customHeight="true" outlineLevel="0" collapsed="false">
      <c r="A1" s="8" t="s">
        <v>41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5" t="s">
        <v>306</v>
      </c>
      <c r="B2" s="5"/>
      <c r="C2" s="5"/>
      <c r="D2" s="5"/>
      <c r="E2" s="5"/>
      <c r="F2" s="5"/>
      <c r="G2" s="5"/>
      <c r="H2" s="5"/>
    </row>
    <row r="3" customFormat="false" ht="31.5" hidden="false" customHeight="true" outlineLevel="0" collapsed="false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311</v>
      </c>
      <c r="F3" s="3" t="s">
        <v>312</v>
      </c>
      <c r="G3" s="3" t="s">
        <v>313</v>
      </c>
      <c r="H3" s="3" t="s">
        <v>314</v>
      </c>
    </row>
    <row r="4" customFormat="false" ht="36" hidden="false" customHeight="true" outlineLevel="0" collapsed="false">
      <c r="A4" s="7" t="s">
        <v>315</v>
      </c>
      <c r="B4" s="7" t="s">
        <v>316</v>
      </c>
      <c r="C4" s="7" t="s">
        <v>317</v>
      </c>
      <c r="D4" s="7" t="s">
        <v>261</v>
      </c>
      <c r="E4" s="7" t="n">
        <v>1000</v>
      </c>
      <c r="F4" s="7" t="n">
        <v>180</v>
      </c>
      <c r="G4" s="9" t="n">
        <f aca="false">(E4-F4)/E4</f>
        <v>0.82</v>
      </c>
      <c r="H4" s="7" t="s">
        <v>318</v>
      </c>
    </row>
    <row r="5" customFormat="false" ht="36" hidden="false" customHeight="true" outlineLevel="0" collapsed="false">
      <c r="A5" s="7" t="s">
        <v>319</v>
      </c>
      <c r="B5" s="7" t="s">
        <v>320</v>
      </c>
      <c r="C5" s="7" t="s">
        <v>321</v>
      </c>
      <c r="D5" s="7" t="s">
        <v>261</v>
      </c>
      <c r="E5" s="7" t="n">
        <v>1000</v>
      </c>
      <c r="F5" s="7" t="n">
        <v>45</v>
      </c>
      <c r="G5" s="9" t="n">
        <f aca="false">F5/E5</f>
        <v>0.045</v>
      </c>
      <c r="H5" s="7" t="s">
        <v>322</v>
      </c>
    </row>
    <row r="6" customFormat="false" ht="36" hidden="false" customHeight="true" outlineLevel="0" collapsed="false">
      <c r="A6" s="7" t="s">
        <v>323</v>
      </c>
      <c r="B6" s="7" t="s">
        <v>324</v>
      </c>
      <c r="C6" s="7" t="s">
        <v>321</v>
      </c>
      <c r="D6" s="7" t="s">
        <v>261</v>
      </c>
      <c r="E6" s="7" t="n">
        <v>1000</v>
      </c>
      <c r="F6" s="7" t="n">
        <v>110</v>
      </c>
      <c r="G6" s="9" t="n">
        <f aca="false">F6/E6</f>
        <v>0.11</v>
      </c>
      <c r="H6" s="7" t="s">
        <v>325</v>
      </c>
    </row>
    <row r="7" customFormat="false" ht="36" hidden="false" customHeight="true" outlineLevel="0" collapsed="false">
      <c r="A7" s="7" t="s">
        <v>326</v>
      </c>
      <c r="B7" s="7" t="s">
        <v>327</v>
      </c>
      <c r="C7" s="7" t="s">
        <v>321</v>
      </c>
      <c r="D7" s="7" t="s">
        <v>261</v>
      </c>
      <c r="E7" s="7" t="n">
        <v>1000</v>
      </c>
      <c r="F7" s="7" t="n">
        <v>12</v>
      </c>
      <c r="G7" s="9" t="n">
        <f aca="false">F7/E7</f>
        <v>0.012</v>
      </c>
      <c r="H7" s="7" t="s">
        <v>322</v>
      </c>
    </row>
    <row r="8" customFormat="false" ht="36" hidden="false" customHeight="true" outlineLevel="0" collapsed="false">
      <c r="A8" s="7" t="s">
        <v>328</v>
      </c>
      <c r="B8" s="7" t="s">
        <v>329</v>
      </c>
      <c r="C8" s="7" t="s">
        <v>321</v>
      </c>
      <c r="D8" s="7" t="s">
        <v>261</v>
      </c>
      <c r="E8" s="7" t="n">
        <v>1000</v>
      </c>
      <c r="F8" s="7" t="n">
        <v>180</v>
      </c>
      <c r="G8" s="9" t="n">
        <f aca="false">F8/E8</f>
        <v>0.18</v>
      </c>
      <c r="H8" s="7" t="s">
        <v>330</v>
      </c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44</v>
      </c>
      <c r="B1" s="1"/>
    </row>
    <row r="2" customFormat="false" ht="30" hidden="false" customHeight="true" outlineLevel="0" collapsed="false">
      <c r="A2" s="5" t="s">
        <v>331</v>
      </c>
      <c r="B2" s="5"/>
    </row>
    <row r="3" customFormat="false" ht="27.75" hidden="false" customHeight="true" outlineLevel="0" collapsed="false">
      <c r="A3" s="6" t="s">
        <v>332</v>
      </c>
      <c r="B3" s="7" t="s">
        <v>333</v>
      </c>
    </row>
    <row r="4" customFormat="false" ht="27.75" hidden="false" customHeight="true" outlineLevel="0" collapsed="false">
      <c r="A4" s="6" t="s">
        <v>334</v>
      </c>
      <c r="B4" s="7" t="s">
        <v>198</v>
      </c>
    </row>
    <row r="5" customFormat="false" ht="27.75" hidden="false" customHeight="true" outlineLevel="0" collapsed="false">
      <c r="A5" s="6" t="s">
        <v>335</v>
      </c>
      <c r="B5" s="7" t="s">
        <v>336</v>
      </c>
    </row>
    <row r="6" customFormat="false" ht="27.75" hidden="false" customHeight="true" outlineLevel="0" collapsed="false">
      <c r="A6" s="6" t="s">
        <v>337</v>
      </c>
      <c r="B6" s="7" t="s">
        <v>338</v>
      </c>
    </row>
    <row r="7" customFormat="false" ht="27.75" hidden="false" customHeight="true" outlineLevel="0" collapsed="false">
      <c r="A7" s="6" t="s">
        <v>339</v>
      </c>
      <c r="B7" s="7" t="s">
        <v>340</v>
      </c>
    </row>
    <row r="8" customFormat="false" ht="27.75" hidden="false" customHeight="true" outlineLevel="0" collapsed="false">
      <c r="A8" s="6" t="s">
        <v>341</v>
      </c>
      <c r="B8" s="7" t="s">
        <v>342</v>
      </c>
    </row>
    <row r="9" customFormat="false" ht="27.75" hidden="false" customHeight="true" outlineLevel="0" collapsed="false">
      <c r="A9" s="6" t="s">
        <v>343</v>
      </c>
      <c r="B9" s="7" t="s">
        <v>344</v>
      </c>
    </row>
    <row r="10" customFormat="false" ht="27.75" hidden="false" customHeight="true" outlineLevel="0" collapsed="false">
      <c r="A10" s="6" t="s">
        <v>345</v>
      </c>
      <c r="B10" s="7" t="s">
        <v>346</v>
      </c>
    </row>
    <row r="11" customFormat="false" ht="27.75" hidden="false" customHeight="true" outlineLevel="0" collapsed="false">
      <c r="A11" s="6" t="s">
        <v>347</v>
      </c>
      <c r="B11" s="7" t="s">
        <v>348</v>
      </c>
    </row>
    <row r="12" customFormat="false" ht="27.75" hidden="false" customHeight="true" outlineLevel="0" collapsed="false">
      <c r="A12" s="6" t="s">
        <v>349</v>
      </c>
      <c r="B12" s="7" t="s">
        <v>350</v>
      </c>
    </row>
    <row r="13" customFormat="false" ht="27.75" hidden="false" customHeight="true" outlineLevel="0" collapsed="false">
      <c r="A13" s="6" t="s">
        <v>351</v>
      </c>
      <c r="B13" s="7" t="s">
        <v>352</v>
      </c>
    </row>
    <row r="14" customFormat="false" ht="27.75" hidden="false" customHeight="true" outlineLevel="0" collapsed="false">
      <c r="A14" s="6" t="s">
        <v>353</v>
      </c>
      <c r="B14" s="7" t="s">
        <v>354</v>
      </c>
    </row>
    <row r="15" customFormat="false" ht="27.75" hidden="false" customHeight="true" outlineLevel="0" collapsed="false">
      <c r="A15" s="6" t="s">
        <v>355</v>
      </c>
      <c r="B15" s="7" t="s">
        <v>356</v>
      </c>
    </row>
    <row r="16" customFormat="false" ht="27.75" hidden="false" customHeight="true" outlineLevel="0" collapsed="false">
      <c r="A16" s="6" t="s">
        <v>357</v>
      </c>
      <c r="B16" s="7" t="s">
        <v>358</v>
      </c>
    </row>
    <row r="17" customFormat="false" ht="27.75" hidden="false" customHeight="true" outlineLevel="0" collapsed="false">
      <c r="A17" s="6" t="s">
        <v>359</v>
      </c>
      <c r="B17" s="7" t="s">
        <v>360</v>
      </c>
    </row>
    <row r="18" customFormat="false" ht="27.75" hidden="false" customHeight="true" outlineLevel="0" collapsed="false">
      <c r="A18" s="6" t="s">
        <v>361</v>
      </c>
      <c r="B18" s="7" t="s">
        <v>362</v>
      </c>
    </row>
    <row r="19" customFormat="false" ht="27.75" hidden="false" customHeight="true" outlineLevel="0" collapsed="false">
      <c r="A19" s="6" t="s">
        <v>363</v>
      </c>
      <c r="B19" s="7" t="s">
        <v>364</v>
      </c>
    </row>
    <row r="20" customFormat="false" ht="27.75" hidden="false" customHeight="true" outlineLevel="0" collapsed="false">
      <c r="A20" s="6" t="s">
        <v>365</v>
      </c>
      <c r="B20" s="7" t="s">
        <v>366</v>
      </c>
    </row>
    <row r="21" customFormat="false" ht="27.75" hidden="false" customHeight="true" outlineLevel="0" collapsed="false">
      <c r="A21" s="6" t="s">
        <v>367</v>
      </c>
      <c r="B21" s="7" t="s">
        <v>368</v>
      </c>
    </row>
    <row r="22" customFormat="false" ht="27.75" hidden="false" customHeight="true" outlineLevel="0" collapsed="false">
      <c r="A22" s="6" t="s">
        <v>369</v>
      </c>
      <c r="B22" s="7" t="s">
        <v>370</v>
      </c>
    </row>
    <row r="23" customFormat="false" ht="27.75" hidden="false" customHeight="true" outlineLevel="0" collapsed="false">
      <c r="A23" s="6" t="s">
        <v>371</v>
      </c>
      <c r="B23" s="7" t="s">
        <v>372</v>
      </c>
    </row>
    <row r="24" customFormat="false" ht="27.75" hidden="false" customHeight="true" outlineLevel="0" collapsed="false">
      <c r="A24" s="6" t="s">
        <v>373</v>
      </c>
      <c r="B24" s="7" t="s">
        <v>374</v>
      </c>
    </row>
    <row r="25" customFormat="false" ht="27.75" hidden="false" customHeight="true" outlineLevel="0" collapsed="false">
      <c r="A25" s="6" t="s">
        <v>375</v>
      </c>
      <c r="B25" s="7" t="s">
        <v>376</v>
      </c>
    </row>
    <row r="26" customFormat="false" ht="27.75" hidden="false" customHeight="true" outlineLevel="0" collapsed="false">
      <c r="A26" s="6" t="s">
        <v>377</v>
      </c>
      <c r="B26" s="7" t="s">
        <v>378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10"/>
  </cols>
  <sheetData>
    <row r="1" customFormat="false" ht="25.5" hidden="false" customHeight="true" outlineLevel="0" collapsed="false">
      <c r="A1" s="8" t="s">
        <v>49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0" hidden="false" customHeight="true" outlineLevel="0" collapsed="false">
      <c r="A2" s="5" t="s">
        <v>379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31.5" hidden="false" customHeight="true" outlineLevel="0" collapsed="false">
      <c r="A3" s="3" t="s">
        <v>249</v>
      </c>
      <c r="B3" s="3" t="s">
        <v>380</v>
      </c>
      <c r="C3" s="3" t="s">
        <v>381</v>
      </c>
      <c r="D3" s="3" t="s">
        <v>382</v>
      </c>
      <c r="E3" s="3" t="s">
        <v>383</v>
      </c>
      <c r="F3" s="3" t="s">
        <v>384</v>
      </c>
      <c r="G3" s="3" t="s">
        <v>385</v>
      </c>
      <c r="H3" s="3" t="s">
        <v>386</v>
      </c>
      <c r="I3" s="3" t="s">
        <v>387</v>
      </c>
      <c r="J3" s="3" t="s">
        <v>388</v>
      </c>
    </row>
    <row r="4" customFormat="false" ht="45" hidden="false" customHeight="true" outlineLevel="0" collapsed="false">
      <c r="A4" s="7" t="s">
        <v>389</v>
      </c>
      <c r="B4" s="7" t="s">
        <v>333</v>
      </c>
      <c r="C4" s="7" t="s">
        <v>390</v>
      </c>
      <c r="D4" s="7" t="s">
        <v>391</v>
      </c>
      <c r="E4" s="7" t="s">
        <v>392</v>
      </c>
      <c r="F4" s="7" t="s">
        <v>393</v>
      </c>
      <c r="G4" s="7" t="s">
        <v>266</v>
      </c>
      <c r="H4" s="7" t="s">
        <v>394</v>
      </c>
      <c r="I4" s="7" t="s">
        <v>395</v>
      </c>
      <c r="J4" s="7" t="s">
        <v>272</v>
      </c>
    </row>
    <row r="5" customFormat="false" ht="21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</row>
    <row r="7" customFormat="false" ht="21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</row>
    <row r="8" customFormat="false" ht="21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8"/>
  </cols>
  <sheetData>
    <row r="1" customFormat="false" ht="25.5" hidden="false" customHeight="true" outlineLevel="0" collapsed="false">
      <c r="A1" s="8" t="s">
        <v>52</v>
      </c>
      <c r="B1" s="8"/>
      <c r="C1" s="8"/>
      <c r="D1" s="8"/>
      <c r="E1" s="8"/>
      <c r="F1" s="8"/>
    </row>
    <row r="2" customFormat="false" ht="30" hidden="false" customHeight="true" outlineLevel="0" collapsed="false">
      <c r="A2" s="5" t="s">
        <v>396</v>
      </c>
      <c r="B2" s="5"/>
      <c r="C2" s="5"/>
      <c r="D2" s="5"/>
      <c r="E2" s="5"/>
      <c r="F2" s="5"/>
    </row>
    <row r="3" customFormat="false" ht="31.5" hidden="false" customHeight="true" outlineLevel="0" collapsed="false">
      <c r="A3" s="3" t="s">
        <v>397</v>
      </c>
      <c r="B3" s="3" t="s">
        <v>398</v>
      </c>
      <c r="C3" s="3" t="s">
        <v>399</v>
      </c>
      <c r="D3" s="3" t="s">
        <v>400</v>
      </c>
      <c r="E3" s="3" t="s">
        <v>171</v>
      </c>
      <c r="F3" s="3" t="s">
        <v>401</v>
      </c>
    </row>
    <row r="4" customFormat="false" ht="45" hidden="false" customHeight="true" outlineLevel="0" collapsed="false">
      <c r="A4" s="7" t="s">
        <v>402</v>
      </c>
      <c r="B4" s="7" t="s">
        <v>403</v>
      </c>
      <c r="C4" s="7" t="s">
        <v>404</v>
      </c>
      <c r="D4" s="7" t="s">
        <v>405</v>
      </c>
      <c r="E4" s="7" t="s">
        <v>264</v>
      </c>
      <c r="F4" s="7" t="s">
        <v>406</v>
      </c>
    </row>
    <row r="5" customFormat="false" ht="21.75" hidden="false" customHeight="true" outlineLevel="0" collapsed="false">
      <c r="A5" s="4"/>
      <c r="B5" s="4"/>
      <c r="C5" s="4"/>
      <c r="D5" s="4"/>
      <c r="E5" s="4"/>
      <c r="F5" s="4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</row>
    <row r="7" customFormat="false" ht="21.75" hidden="false" customHeight="true" outlineLevel="0" collapsed="false">
      <c r="A7" s="4"/>
      <c r="B7" s="4"/>
      <c r="C7" s="4"/>
      <c r="D7" s="4"/>
      <c r="E7" s="4"/>
      <c r="F7" s="4"/>
    </row>
    <row r="8" customFormat="false" ht="21.75" hidden="false" customHeight="true" outlineLevel="0" collapsed="false">
      <c r="A8" s="4"/>
      <c r="B8" s="4"/>
      <c r="C8" s="4"/>
      <c r="D8" s="4"/>
      <c r="E8" s="4"/>
      <c r="F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8" t="s">
        <v>55</v>
      </c>
      <c r="B1" s="8"/>
      <c r="C1" s="8"/>
      <c r="D1" s="8"/>
      <c r="E1" s="8"/>
      <c r="F1" s="8"/>
      <c r="G1" s="8"/>
      <c r="H1" s="8"/>
      <c r="I1" s="8"/>
    </row>
    <row r="2" customFormat="false" ht="30" hidden="false" customHeight="true" outlineLevel="0" collapsed="false">
      <c r="A2" s="5" t="s">
        <v>407</v>
      </c>
      <c r="B2" s="5"/>
      <c r="C2" s="5"/>
      <c r="D2" s="5"/>
      <c r="E2" s="5"/>
      <c r="F2" s="5"/>
      <c r="G2" s="5"/>
      <c r="H2" s="5"/>
      <c r="I2" s="5"/>
    </row>
    <row r="3" customFormat="false" ht="31.5" hidden="false" customHeight="true" outlineLevel="0" collapsed="false">
      <c r="A3" s="3" t="s">
        <v>249</v>
      </c>
      <c r="B3" s="3" t="s">
        <v>5</v>
      </c>
      <c r="C3" s="3" t="s">
        <v>408</v>
      </c>
      <c r="D3" s="3" t="s">
        <v>382</v>
      </c>
      <c r="E3" s="3" t="s">
        <v>409</v>
      </c>
      <c r="F3" s="3" t="s">
        <v>410</v>
      </c>
      <c r="G3" s="3" t="s">
        <v>411</v>
      </c>
      <c r="H3" s="3" t="s">
        <v>412</v>
      </c>
      <c r="I3" s="3" t="s">
        <v>413</v>
      </c>
    </row>
    <row r="4" customFormat="false" ht="45" hidden="false" customHeight="true" outlineLevel="0" collapsed="false">
      <c r="A4" s="7" t="s">
        <v>414</v>
      </c>
      <c r="B4" s="7" t="s">
        <v>415</v>
      </c>
      <c r="C4" s="7" t="s">
        <v>416</v>
      </c>
      <c r="D4" s="7" t="s">
        <v>417</v>
      </c>
      <c r="E4" s="7" t="s">
        <v>418</v>
      </c>
      <c r="F4" s="7" t="s">
        <v>419</v>
      </c>
      <c r="G4" s="7" t="s">
        <v>333</v>
      </c>
      <c r="H4" s="7" t="s">
        <v>420</v>
      </c>
      <c r="I4" s="7" t="s">
        <v>421</v>
      </c>
    </row>
    <row r="5" customFormat="false" ht="21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21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21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8" t="s">
        <v>59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5" t="s">
        <v>422</v>
      </c>
      <c r="B2" s="5"/>
      <c r="C2" s="5"/>
      <c r="D2" s="5"/>
      <c r="E2" s="5"/>
      <c r="F2" s="5"/>
      <c r="G2" s="5"/>
      <c r="H2" s="5"/>
    </row>
    <row r="3" customFormat="false" ht="31.5" hidden="false" customHeight="true" outlineLevel="0" collapsed="false">
      <c r="A3" s="3" t="s">
        <v>423</v>
      </c>
      <c r="B3" s="3" t="s">
        <v>424</v>
      </c>
      <c r="C3" s="3" t="s">
        <v>425</v>
      </c>
      <c r="D3" s="3" t="s">
        <v>426</v>
      </c>
      <c r="E3" s="3" t="s">
        <v>427</v>
      </c>
      <c r="F3" s="3" t="s">
        <v>428</v>
      </c>
      <c r="G3" s="3" t="s">
        <v>429</v>
      </c>
      <c r="H3" s="3" t="s">
        <v>430</v>
      </c>
    </row>
    <row r="4" customFormat="false" ht="25.5" hidden="false" customHeight="true" outlineLevel="0" collapsed="false">
      <c r="A4" s="7" t="s">
        <v>431</v>
      </c>
      <c r="B4" s="7" t="s">
        <v>432</v>
      </c>
      <c r="C4" s="7" t="s">
        <v>432</v>
      </c>
      <c r="D4" s="7" t="s">
        <v>432</v>
      </c>
      <c r="E4" s="7" t="s">
        <v>421</v>
      </c>
      <c r="F4" s="7" t="s">
        <v>421</v>
      </c>
      <c r="G4" s="7" t="s">
        <v>421</v>
      </c>
      <c r="H4" s="7" t="s">
        <v>432</v>
      </c>
    </row>
    <row r="5" customFormat="false" ht="25.5" hidden="false" customHeight="true" outlineLevel="0" collapsed="false">
      <c r="A5" s="7" t="s">
        <v>433</v>
      </c>
      <c r="B5" s="7" t="s">
        <v>432</v>
      </c>
      <c r="C5" s="7" t="s">
        <v>432</v>
      </c>
      <c r="D5" s="7" t="s">
        <v>432</v>
      </c>
      <c r="E5" s="7" t="s">
        <v>432</v>
      </c>
      <c r="F5" s="7" t="s">
        <v>432</v>
      </c>
      <c r="G5" s="7" t="s">
        <v>421</v>
      </c>
      <c r="H5" s="7" t="s">
        <v>432</v>
      </c>
    </row>
    <row r="6" customFormat="false" ht="25.5" hidden="false" customHeight="true" outlineLevel="0" collapsed="false">
      <c r="A6" s="7" t="s">
        <v>434</v>
      </c>
      <c r="B6" s="7" t="s">
        <v>421</v>
      </c>
      <c r="C6" s="7" t="s">
        <v>432</v>
      </c>
      <c r="D6" s="7" t="s">
        <v>432</v>
      </c>
      <c r="E6" s="7" t="s">
        <v>432</v>
      </c>
      <c r="F6" s="7" t="s">
        <v>432</v>
      </c>
      <c r="G6" s="7" t="s">
        <v>421</v>
      </c>
      <c r="H6" s="7" t="s">
        <v>421</v>
      </c>
    </row>
    <row r="7" customFormat="false" ht="25.5" hidden="false" customHeight="true" outlineLevel="0" collapsed="false">
      <c r="A7" s="7" t="s">
        <v>435</v>
      </c>
      <c r="B7" s="7" t="s">
        <v>436</v>
      </c>
      <c r="C7" s="7" t="s">
        <v>432</v>
      </c>
      <c r="D7" s="7" t="s">
        <v>432</v>
      </c>
      <c r="E7" s="7" t="s">
        <v>421</v>
      </c>
      <c r="F7" s="7" t="s">
        <v>421</v>
      </c>
      <c r="G7" s="7" t="s">
        <v>421</v>
      </c>
      <c r="H7" s="7" t="s">
        <v>421</v>
      </c>
    </row>
    <row r="8" customFormat="false" ht="25.5" hidden="false" customHeight="true" outlineLevel="0" collapsed="false">
      <c r="A8" s="7" t="s">
        <v>437</v>
      </c>
      <c r="B8" s="7" t="s">
        <v>421</v>
      </c>
      <c r="C8" s="7" t="s">
        <v>432</v>
      </c>
      <c r="D8" s="7" t="s">
        <v>432</v>
      </c>
      <c r="E8" s="7" t="s">
        <v>421</v>
      </c>
      <c r="F8" s="7" t="s">
        <v>432</v>
      </c>
      <c r="G8" s="7" t="s">
        <v>421</v>
      </c>
      <c r="H8" s="7" t="s">
        <v>421</v>
      </c>
    </row>
    <row r="9" customFormat="false" ht="25.5" hidden="false" customHeight="true" outlineLevel="0" collapsed="false">
      <c r="A9" s="7" t="s">
        <v>438</v>
      </c>
      <c r="B9" s="7" t="s">
        <v>421</v>
      </c>
      <c r="C9" s="7" t="s">
        <v>421</v>
      </c>
      <c r="D9" s="7" t="s">
        <v>421</v>
      </c>
      <c r="E9" s="7" t="s">
        <v>421</v>
      </c>
      <c r="F9" s="7" t="s">
        <v>432</v>
      </c>
      <c r="G9" s="7" t="s">
        <v>421</v>
      </c>
      <c r="H9" s="7" t="s">
        <v>421</v>
      </c>
    </row>
    <row r="10" customFormat="false" ht="25.5" hidden="false" customHeight="true" outlineLevel="0" collapsed="false">
      <c r="A10" s="7" t="s">
        <v>439</v>
      </c>
      <c r="B10" s="7" t="s">
        <v>421</v>
      </c>
      <c r="C10" s="7" t="s">
        <v>432</v>
      </c>
      <c r="D10" s="7" t="s">
        <v>432</v>
      </c>
      <c r="E10" s="7" t="s">
        <v>432</v>
      </c>
      <c r="F10" s="7" t="s">
        <v>432</v>
      </c>
      <c r="G10" s="7" t="s">
        <v>421</v>
      </c>
      <c r="H10" s="7" t="s">
        <v>421</v>
      </c>
    </row>
    <row r="11" customFormat="false" ht="25.5" hidden="false" customHeight="true" outlineLevel="0" collapsed="false">
      <c r="A11" s="7" t="s">
        <v>440</v>
      </c>
      <c r="B11" s="7" t="s">
        <v>441</v>
      </c>
      <c r="C11" s="7" t="s">
        <v>432</v>
      </c>
      <c r="D11" s="7" t="s">
        <v>432</v>
      </c>
      <c r="E11" s="7" t="s">
        <v>432</v>
      </c>
      <c r="F11" s="7" t="s">
        <v>432</v>
      </c>
      <c r="G11" s="7" t="s">
        <v>421</v>
      </c>
      <c r="H11" s="7" t="s">
        <v>421</v>
      </c>
    </row>
    <row r="12" customFormat="false" ht="25.5" hidden="false" customHeight="true" outlineLevel="0" collapsed="false">
      <c r="A12" s="7" t="s">
        <v>442</v>
      </c>
      <c r="B12" s="7" t="s">
        <v>421</v>
      </c>
      <c r="C12" s="7" t="s">
        <v>421</v>
      </c>
      <c r="D12" s="7" t="s">
        <v>432</v>
      </c>
      <c r="E12" s="7" t="s">
        <v>421</v>
      </c>
      <c r="F12" s="7" t="s">
        <v>432</v>
      </c>
      <c r="G12" s="7" t="s">
        <v>421</v>
      </c>
      <c r="H12" s="7" t="s">
        <v>421</v>
      </c>
    </row>
    <row r="13" customFormat="false" ht="25.5" hidden="false" customHeight="true" outlineLevel="0" collapsed="false">
      <c r="A13" s="7" t="s">
        <v>443</v>
      </c>
      <c r="B13" s="7" t="s">
        <v>421</v>
      </c>
      <c r="C13" s="7" t="s">
        <v>421</v>
      </c>
      <c r="D13" s="7" t="s">
        <v>421</v>
      </c>
      <c r="E13" s="7" t="s">
        <v>421</v>
      </c>
      <c r="F13" s="7" t="s">
        <v>432</v>
      </c>
      <c r="G13" s="7" t="s">
        <v>432</v>
      </c>
      <c r="H13" s="7" t="s">
        <v>421</v>
      </c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35"/>
  </cols>
  <sheetData>
    <row r="1" customFormat="false" ht="25.5" hidden="false" customHeight="true" outlineLevel="0" collapsed="false">
      <c r="A1" s="8" t="s">
        <v>444</v>
      </c>
      <c r="B1" s="8"/>
      <c r="C1" s="8"/>
      <c r="D1" s="8"/>
    </row>
    <row r="2" customFormat="false" ht="30" hidden="false" customHeight="true" outlineLevel="0" collapsed="false">
      <c r="A2" s="5" t="s">
        <v>445</v>
      </c>
      <c r="B2" s="5"/>
      <c r="C2" s="5"/>
      <c r="D2" s="5"/>
    </row>
    <row r="3" customFormat="false" ht="31.5" hidden="false" customHeight="true" outlineLevel="0" collapsed="false">
      <c r="A3" s="3" t="s">
        <v>3</v>
      </c>
      <c r="B3" s="3" t="s">
        <v>446</v>
      </c>
      <c r="C3" s="3" t="s">
        <v>447</v>
      </c>
      <c r="D3" s="3" t="s">
        <v>401</v>
      </c>
    </row>
    <row r="4" customFormat="false" ht="25.5" hidden="false" customHeight="true" outlineLevel="0" collapsed="false">
      <c r="A4" s="4" t="n">
        <v>1</v>
      </c>
      <c r="B4" s="4" t="s">
        <v>448</v>
      </c>
      <c r="C4" s="4"/>
      <c r="D4" s="4"/>
    </row>
    <row r="5" customFormat="false" ht="25.5" hidden="false" customHeight="true" outlineLevel="0" collapsed="false">
      <c r="A5" s="4" t="n">
        <v>2</v>
      </c>
      <c r="B5" s="4" t="s">
        <v>449</v>
      </c>
      <c r="C5" s="4"/>
      <c r="D5" s="4"/>
    </row>
    <row r="6" customFormat="false" ht="25.5" hidden="false" customHeight="true" outlineLevel="0" collapsed="false">
      <c r="A6" s="4" t="n">
        <v>3</v>
      </c>
      <c r="B6" s="4" t="s">
        <v>450</v>
      </c>
      <c r="C6" s="4"/>
      <c r="D6" s="4"/>
    </row>
    <row r="7" customFormat="false" ht="25.5" hidden="false" customHeight="true" outlineLevel="0" collapsed="false">
      <c r="A7" s="4" t="n">
        <v>4</v>
      </c>
      <c r="B7" s="4" t="s">
        <v>451</v>
      </c>
      <c r="C7" s="4"/>
      <c r="D7" s="4"/>
    </row>
    <row r="8" customFormat="false" ht="25.5" hidden="false" customHeight="true" outlineLevel="0" collapsed="false">
      <c r="A8" s="4" t="n">
        <v>5</v>
      </c>
      <c r="B8" s="4" t="s">
        <v>452</v>
      </c>
      <c r="C8" s="4"/>
      <c r="D8" s="4"/>
    </row>
    <row r="9" customFormat="false" ht="25.5" hidden="false" customHeight="true" outlineLevel="0" collapsed="false">
      <c r="A9" s="4" t="n">
        <v>6</v>
      </c>
      <c r="B9" s="4" t="s">
        <v>453</v>
      </c>
      <c r="C9" s="4"/>
      <c r="D9" s="4"/>
    </row>
    <row r="10" customFormat="false" ht="25.5" hidden="false" customHeight="true" outlineLevel="0" collapsed="false">
      <c r="A10" s="4" t="n">
        <v>7</v>
      </c>
      <c r="B10" s="4" t="s">
        <v>454</v>
      </c>
      <c r="C10" s="4"/>
      <c r="D10" s="4"/>
    </row>
    <row r="11" customFormat="false" ht="25.5" hidden="false" customHeight="true" outlineLevel="0" collapsed="false">
      <c r="A11" s="4" t="n">
        <v>8</v>
      </c>
      <c r="B11" s="4" t="s">
        <v>455</v>
      </c>
      <c r="C11" s="4"/>
      <c r="D11" s="4"/>
    </row>
    <row r="12" customFormat="false" ht="25.5" hidden="false" customHeight="true" outlineLevel="0" collapsed="false">
      <c r="A12" s="4" t="n">
        <v>9</v>
      </c>
      <c r="B12" s="4" t="s">
        <v>456</v>
      </c>
      <c r="C12" s="4"/>
      <c r="D12" s="4"/>
    </row>
    <row r="13" customFormat="false" ht="25.5" hidden="false" customHeight="true" outlineLevel="0" collapsed="false">
      <c r="A13" s="4" t="n">
        <v>10</v>
      </c>
      <c r="B13" s="4" t="s">
        <v>457</v>
      </c>
      <c r="C13" s="4"/>
      <c r="D13" s="4"/>
    </row>
    <row r="14" customFormat="false" ht="21.75" hidden="false" customHeight="true" outlineLevel="0" collapsed="false">
      <c r="A14" s="4"/>
      <c r="B14" s="4"/>
      <c r="C14" s="4"/>
      <c r="D14" s="4"/>
    </row>
    <row r="15" customFormat="false" ht="21.75" hidden="false" customHeight="true" outlineLevel="0" collapsed="false">
      <c r="A15" s="4"/>
      <c r="B15" s="4"/>
      <c r="C15" s="4"/>
      <c r="D15" s="4"/>
    </row>
    <row r="16" customFormat="false" ht="21.75" hidden="false" customHeight="true" outlineLevel="0" collapsed="false">
      <c r="A16" s="4"/>
      <c r="B16" s="4"/>
      <c r="C16" s="4"/>
      <c r="D16" s="4"/>
    </row>
    <row r="17" customFormat="false" ht="21.75" hidden="false" customHeight="true" outlineLevel="0" collapsed="false">
      <c r="A17" s="4"/>
      <c r="B17" s="4"/>
      <c r="C17" s="4"/>
      <c r="D17" s="4"/>
    </row>
    <row r="18" customFormat="false" ht="21.75" hidden="false" customHeight="true" outlineLevel="0" collapsed="false">
      <c r="A18" s="4"/>
      <c r="B18" s="4"/>
      <c r="C18" s="4"/>
      <c r="D18" s="4"/>
    </row>
    <row r="19" customFormat="false" ht="21.75" hidden="false" customHeight="true" outlineLevel="0" collapsed="false">
      <c r="A19" s="4"/>
      <c r="B19" s="4"/>
      <c r="C19" s="4"/>
      <c r="D19" s="4"/>
    </row>
    <row r="20" customFormat="false" ht="21.75" hidden="false" customHeight="true" outlineLevel="0" collapsed="false">
      <c r="A20" s="4"/>
      <c r="B20" s="4"/>
      <c r="C20" s="4"/>
      <c r="D20" s="4"/>
    </row>
    <row r="21" customFormat="false" ht="21.75" hidden="false" customHeight="true" outlineLevel="0" collapsed="false">
      <c r="A21" s="4"/>
      <c r="B21" s="4"/>
      <c r="C21" s="4"/>
      <c r="D21" s="4"/>
    </row>
    <row r="22" customFormat="false" ht="21.75" hidden="false" customHeight="true" outlineLevel="0" collapsed="false">
      <c r="A22" s="4"/>
      <c r="B22" s="4"/>
      <c r="C22" s="4"/>
      <c r="D22" s="4"/>
    </row>
    <row r="23" customFormat="false" ht="21.75" hidden="false" customHeight="true" outlineLevel="0" collapsed="false">
      <c r="A23" s="4"/>
      <c r="B23" s="4"/>
      <c r="C23" s="4"/>
      <c r="D23" s="4"/>
    </row>
    <row r="24" customFormat="false" ht="21.75" hidden="false" customHeight="true" outlineLevel="0" collapsed="false">
      <c r="A24" s="4"/>
      <c r="B24" s="4"/>
      <c r="C24" s="4"/>
      <c r="D24" s="4"/>
    </row>
    <row r="25" customFormat="false" ht="21.75" hidden="false" customHeight="true" outlineLevel="0" collapsed="false">
      <c r="A25" s="4"/>
      <c r="B25" s="4"/>
      <c r="C25" s="4"/>
      <c r="D25" s="4"/>
    </row>
    <row r="26" customFormat="false" ht="21.75" hidden="false" customHeight="true" outlineLevel="0" collapsed="false">
      <c r="A26" s="4"/>
      <c r="B26" s="4"/>
      <c r="C26" s="4"/>
      <c r="D26" s="4"/>
    </row>
    <row r="27" customFormat="false" ht="21.75" hidden="false" customHeight="true" outlineLevel="0" collapsed="false">
      <c r="A27" s="4"/>
      <c r="B27" s="4"/>
      <c r="C27" s="4"/>
      <c r="D27" s="4"/>
    </row>
    <row r="28" customFormat="false" ht="21.75" hidden="false" customHeight="true" outlineLevel="0" collapsed="false">
      <c r="A28" s="4"/>
      <c r="B28" s="4"/>
      <c r="C28" s="4"/>
      <c r="D28" s="4"/>
    </row>
    <row r="29" customFormat="false" ht="21.75" hidden="false" customHeight="true" outlineLevel="0" collapsed="false">
      <c r="A29" s="4"/>
      <c r="B29" s="4"/>
      <c r="C29" s="4"/>
      <c r="D29" s="4"/>
    </row>
    <row r="30" customFormat="false" ht="21.75" hidden="false" customHeight="true" outlineLevel="0" collapsed="false">
      <c r="A30" s="4"/>
      <c r="B30" s="4"/>
      <c r="C30" s="4"/>
      <c r="D30" s="4"/>
    </row>
    <row r="31" customFormat="false" ht="21.75" hidden="false" customHeight="true" outlineLevel="0" collapsed="false">
      <c r="A31" s="4"/>
      <c r="B31" s="4"/>
      <c r="C31" s="4"/>
      <c r="D31" s="4"/>
    </row>
    <row r="32" customFormat="false" ht="21.75" hidden="false" customHeight="true" outlineLevel="0" collapsed="false">
      <c r="A32" s="4"/>
      <c r="B32" s="4"/>
      <c r="C32" s="4"/>
      <c r="D32" s="4"/>
    </row>
    <row r="33" customFormat="false" ht="21.75" hidden="false" customHeight="true" outlineLevel="0" collapsed="false">
      <c r="A33" s="4"/>
      <c r="B33" s="4"/>
      <c r="C33" s="4"/>
      <c r="D33" s="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8" t="s">
        <v>458</v>
      </c>
      <c r="B1" s="8"/>
      <c r="C1" s="8"/>
      <c r="D1" s="8"/>
      <c r="E1" s="8"/>
      <c r="F1" s="8"/>
      <c r="G1" s="8"/>
      <c r="H1" s="8"/>
      <c r="I1" s="8"/>
    </row>
    <row r="2" customFormat="false" ht="30" hidden="false" customHeight="true" outlineLevel="0" collapsed="false">
      <c r="A2" s="5" t="s">
        <v>459</v>
      </c>
      <c r="B2" s="5"/>
      <c r="C2" s="5"/>
      <c r="D2" s="5"/>
      <c r="E2" s="5"/>
      <c r="F2" s="5"/>
      <c r="G2" s="5"/>
      <c r="H2" s="5"/>
      <c r="I2" s="5"/>
    </row>
    <row r="3" customFormat="false" ht="31.5" hidden="false" customHeight="true" outlineLevel="0" collapsed="false">
      <c r="A3" s="3" t="s">
        <v>460</v>
      </c>
      <c r="B3" s="3" t="s">
        <v>461</v>
      </c>
      <c r="C3" s="3" t="s">
        <v>462</v>
      </c>
      <c r="D3" s="3" t="s">
        <v>463</v>
      </c>
      <c r="E3" s="3" t="s">
        <v>464</v>
      </c>
      <c r="F3" s="3" t="s">
        <v>465</v>
      </c>
      <c r="G3" s="3" t="s">
        <v>466</v>
      </c>
      <c r="H3" s="3" t="s">
        <v>467</v>
      </c>
      <c r="I3" s="3" t="s">
        <v>468</v>
      </c>
    </row>
    <row r="4" customFormat="false" ht="45" hidden="false" customHeight="true" outlineLevel="0" collapsed="false">
      <c r="A4" s="7" t="s">
        <v>261</v>
      </c>
      <c r="B4" s="7" t="s">
        <v>284</v>
      </c>
      <c r="C4" s="7" t="s">
        <v>285</v>
      </c>
      <c r="D4" s="7" t="s">
        <v>469</v>
      </c>
      <c r="E4" s="7" t="s">
        <v>470</v>
      </c>
      <c r="F4" s="7" t="s">
        <v>471</v>
      </c>
      <c r="G4" s="7" t="s">
        <v>269</v>
      </c>
      <c r="H4" s="7" t="s">
        <v>264</v>
      </c>
      <c r="I4" s="7" t="s">
        <v>472</v>
      </c>
    </row>
    <row r="5" customFormat="false" ht="21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21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21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8" t="s">
        <v>473</v>
      </c>
      <c r="B1" s="8"/>
      <c r="C1" s="8"/>
      <c r="D1" s="8"/>
    </row>
    <row r="2" customFormat="false" ht="30" hidden="false" customHeight="true" outlineLevel="0" collapsed="false">
      <c r="A2" s="5" t="s">
        <v>474</v>
      </c>
      <c r="B2" s="5"/>
      <c r="C2" s="5"/>
      <c r="D2" s="5"/>
    </row>
    <row r="3" customFormat="false" ht="31.5" hidden="false" customHeight="true" outlineLevel="0" collapsed="false">
      <c r="A3" s="3" t="s">
        <v>475</v>
      </c>
      <c r="B3" s="3" t="s">
        <v>476</v>
      </c>
      <c r="C3" s="3" t="s">
        <v>477</v>
      </c>
      <c r="D3" s="3" t="s">
        <v>478</v>
      </c>
    </row>
    <row r="4" customFormat="false" ht="45" hidden="false" customHeight="true" outlineLevel="0" collapsed="false">
      <c r="A4" s="7" t="s">
        <v>469</v>
      </c>
      <c r="B4" s="7" t="s">
        <v>479</v>
      </c>
      <c r="C4" s="7" t="s">
        <v>480</v>
      </c>
      <c r="D4" s="7" t="s">
        <v>481</v>
      </c>
    </row>
    <row r="5" customFormat="false" ht="21.75" hidden="false" customHeight="true" outlineLevel="0" collapsed="false">
      <c r="A5" s="4"/>
      <c r="B5" s="4"/>
      <c r="C5" s="4"/>
      <c r="D5" s="4"/>
    </row>
    <row r="6" customFormat="false" ht="21.75" hidden="false" customHeight="true" outlineLevel="0" collapsed="false">
      <c r="A6" s="4"/>
      <c r="B6" s="4"/>
      <c r="C6" s="4"/>
      <c r="D6" s="4"/>
    </row>
    <row r="7" customFormat="false" ht="21.75" hidden="false" customHeight="true" outlineLevel="0" collapsed="false">
      <c r="A7" s="4"/>
      <c r="B7" s="4"/>
      <c r="C7" s="4"/>
      <c r="D7" s="4"/>
    </row>
    <row r="8" customFormat="false" ht="21.75" hidden="false" customHeight="true" outlineLevel="0" collapsed="false">
      <c r="A8" s="4"/>
      <c r="B8" s="4"/>
      <c r="C8" s="4"/>
      <c r="D8" s="4"/>
    </row>
    <row r="9" customFormat="false" ht="21.75" hidden="false" customHeight="true" outlineLevel="0" collapsed="false">
      <c r="A9" s="4"/>
      <c r="B9" s="4"/>
      <c r="C9" s="4"/>
      <c r="D9" s="4"/>
    </row>
    <row r="10" customFormat="false" ht="21.75" hidden="false" customHeight="true" outlineLevel="0" collapsed="false">
      <c r="A10" s="4"/>
      <c r="B10" s="4"/>
      <c r="C10" s="4"/>
      <c r="D10" s="4"/>
    </row>
    <row r="11" customFormat="false" ht="21.75" hidden="false" customHeight="true" outlineLevel="0" collapsed="false">
      <c r="A11" s="4"/>
      <c r="B11" s="4"/>
      <c r="C11" s="4"/>
      <c r="D11" s="4"/>
    </row>
    <row r="12" customFormat="false" ht="21.75" hidden="false" customHeight="true" outlineLevel="0" collapsed="false">
      <c r="A12" s="4"/>
      <c r="B12" s="4"/>
      <c r="C12" s="4"/>
      <c r="D12" s="4"/>
    </row>
    <row r="13" customFormat="false" ht="21.75" hidden="false" customHeight="true" outlineLevel="0" collapsed="false">
      <c r="A13" s="4"/>
      <c r="B13" s="4"/>
      <c r="C13" s="4"/>
      <c r="D13" s="4"/>
    </row>
    <row r="14" customFormat="false" ht="21.75" hidden="false" customHeight="true" outlineLevel="0" collapsed="false">
      <c r="A14" s="4"/>
      <c r="B14" s="4"/>
      <c r="C14" s="4"/>
      <c r="D14" s="4"/>
    </row>
    <row r="15" customFormat="false" ht="21.75" hidden="false" customHeight="true" outlineLevel="0" collapsed="false">
      <c r="A15" s="4"/>
      <c r="B15" s="4"/>
      <c r="C15" s="4"/>
      <c r="D15" s="4"/>
    </row>
    <row r="16" customFormat="false" ht="21.75" hidden="false" customHeight="true" outlineLevel="0" collapsed="false">
      <c r="A16" s="4"/>
      <c r="B16" s="4"/>
      <c r="C16" s="4"/>
      <c r="D16" s="4"/>
    </row>
    <row r="17" customFormat="false" ht="21.75" hidden="false" customHeight="true" outlineLevel="0" collapsed="false">
      <c r="A17" s="4"/>
      <c r="B17" s="4"/>
      <c r="C17" s="4"/>
      <c r="D17" s="4"/>
    </row>
    <row r="18" customFormat="false" ht="21.75" hidden="false" customHeight="true" outlineLevel="0" collapsed="false">
      <c r="A18" s="4"/>
      <c r="B18" s="4"/>
      <c r="C18" s="4"/>
      <c r="D18" s="4"/>
    </row>
    <row r="19" customFormat="false" ht="21.75" hidden="false" customHeight="true" outlineLevel="0" collapsed="false">
      <c r="A19" s="4"/>
      <c r="B19" s="4"/>
      <c r="C19" s="4"/>
      <c r="D19" s="4"/>
    </row>
    <row r="20" customFormat="false" ht="21.75" hidden="false" customHeight="true" outlineLevel="0" collapsed="false">
      <c r="A20" s="4"/>
      <c r="B20" s="4"/>
      <c r="C20" s="4"/>
      <c r="D20" s="4"/>
    </row>
    <row r="21" customFormat="false" ht="21.75" hidden="false" customHeight="true" outlineLevel="0" collapsed="false">
      <c r="A21" s="4"/>
      <c r="B21" s="4"/>
      <c r="C21" s="4"/>
      <c r="D21" s="4"/>
    </row>
    <row r="22" customFormat="false" ht="21.75" hidden="false" customHeight="true" outlineLevel="0" collapsed="false">
      <c r="A22" s="4"/>
      <c r="B22" s="4"/>
      <c r="C22" s="4"/>
      <c r="D22" s="4"/>
    </row>
    <row r="23" customFormat="false" ht="21.75" hidden="false" customHeight="true" outlineLevel="0" collapsed="false">
      <c r="A23" s="4"/>
      <c r="B23" s="4"/>
      <c r="C23" s="4"/>
      <c r="D23" s="4"/>
    </row>
    <row r="24" customFormat="false" ht="21.75" hidden="false" customHeight="true" outlineLevel="0" collapsed="false">
      <c r="A24" s="4"/>
      <c r="B24" s="4"/>
      <c r="C24" s="4"/>
      <c r="D24" s="4"/>
    </row>
    <row r="25" customFormat="false" ht="21.75" hidden="false" customHeight="true" outlineLevel="0" collapsed="false">
      <c r="A25" s="4"/>
      <c r="B25" s="4"/>
      <c r="C25" s="4"/>
      <c r="D25" s="4"/>
    </row>
    <row r="26" customFormat="false" ht="21.75" hidden="false" customHeight="true" outlineLevel="0" collapsed="false">
      <c r="A26" s="4"/>
      <c r="B26" s="4"/>
      <c r="C26" s="4"/>
      <c r="D26" s="4"/>
    </row>
    <row r="27" customFormat="false" ht="21.75" hidden="false" customHeight="true" outlineLevel="0" collapsed="false">
      <c r="A27" s="4"/>
      <c r="B27" s="4"/>
      <c r="C27" s="4"/>
      <c r="D27" s="4"/>
    </row>
    <row r="28" customFormat="false" ht="21.75" hidden="false" customHeight="true" outlineLevel="0" collapsed="false">
      <c r="A28" s="4"/>
      <c r="B28" s="4"/>
      <c r="C28" s="4"/>
      <c r="D28" s="4"/>
    </row>
    <row r="29" customFormat="false" ht="21.75" hidden="false" customHeight="true" outlineLevel="0" collapsed="false">
      <c r="A29" s="4"/>
      <c r="B29" s="4"/>
      <c r="C29" s="4"/>
      <c r="D29" s="4"/>
    </row>
    <row r="30" customFormat="false" ht="21.75" hidden="false" customHeight="true" outlineLevel="0" collapsed="false">
      <c r="A30" s="4"/>
      <c r="B30" s="4"/>
      <c r="C30" s="4"/>
      <c r="D30" s="4"/>
    </row>
    <row r="31" customFormat="false" ht="21.75" hidden="false" customHeight="true" outlineLevel="0" collapsed="false">
      <c r="A31" s="4"/>
      <c r="B31" s="4"/>
      <c r="C31" s="4"/>
      <c r="D31" s="4"/>
    </row>
    <row r="32" customFormat="false" ht="21.75" hidden="false" customHeight="true" outlineLevel="0" collapsed="false">
      <c r="A32" s="4"/>
      <c r="B32" s="4"/>
      <c r="C32" s="4"/>
      <c r="D32" s="4"/>
    </row>
    <row r="33" customFormat="false" ht="21.75" hidden="false" customHeight="true" outlineLevel="0" collapsed="false">
      <c r="A33" s="4"/>
      <c r="B33" s="4"/>
      <c r="C33" s="4"/>
      <c r="D33" s="4"/>
    </row>
    <row r="34" customFormat="false" ht="21.75" hidden="false" customHeight="true" outlineLevel="0" collapsed="false">
      <c r="A34" s="4"/>
      <c r="B34" s="4"/>
      <c r="C34" s="4"/>
      <c r="D34" s="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8" t="s">
        <v>73</v>
      </c>
      <c r="B1" s="8"/>
      <c r="C1" s="8"/>
      <c r="D1" s="8"/>
      <c r="E1" s="8"/>
      <c r="F1" s="8"/>
    </row>
    <row r="2" customFormat="false" ht="30" hidden="false" customHeight="true" outlineLevel="0" collapsed="false">
      <c r="A2" s="5" t="s">
        <v>482</v>
      </c>
      <c r="B2" s="5"/>
      <c r="C2" s="5"/>
      <c r="D2" s="5"/>
      <c r="E2" s="5"/>
      <c r="F2" s="5"/>
    </row>
    <row r="3" customFormat="false" ht="31.5" hidden="false" customHeight="true" outlineLevel="0" collapsed="false">
      <c r="A3" s="3" t="s">
        <v>3</v>
      </c>
      <c r="B3" s="3" t="s">
        <v>483</v>
      </c>
      <c r="C3" s="3" t="s">
        <v>468</v>
      </c>
      <c r="D3" s="3" t="s">
        <v>171</v>
      </c>
      <c r="E3" s="3" t="s">
        <v>484</v>
      </c>
      <c r="F3" s="3" t="s">
        <v>401</v>
      </c>
    </row>
    <row r="4" customFormat="false" ht="24" hidden="false" customHeight="true" outlineLevel="0" collapsed="false">
      <c r="A4" s="4" t="n">
        <v>1</v>
      </c>
      <c r="B4" s="4" t="s">
        <v>485</v>
      </c>
      <c r="C4" s="4" t="s">
        <v>472</v>
      </c>
      <c r="D4" s="4"/>
      <c r="E4" s="4"/>
      <c r="F4" s="4"/>
    </row>
    <row r="5" customFormat="false" ht="24" hidden="false" customHeight="true" outlineLevel="0" collapsed="false">
      <c r="A5" s="4" t="n">
        <v>2</v>
      </c>
      <c r="B5" s="4" t="s">
        <v>486</v>
      </c>
      <c r="C5" s="4" t="s">
        <v>472</v>
      </c>
      <c r="D5" s="4"/>
      <c r="E5" s="4"/>
      <c r="F5" s="4"/>
    </row>
    <row r="6" customFormat="false" ht="24" hidden="false" customHeight="true" outlineLevel="0" collapsed="false">
      <c r="A6" s="4" t="n">
        <v>3</v>
      </c>
      <c r="B6" s="4" t="s">
        <v>487</v>
      </c>
      <c r="C6" s="4" t="s">
        <v>472</v>
      </c>
      <c r="D6" s="4"/>
      <c r="E6" s="4"/>
      <c r="F6" s="4"/>
    </row>
    <row r="7" customFormat="false" ht="24" hidden="false" customHeight="true" outlineLevel="0" collapsed="false">
      <c r="A7" s="4" t="n">
        <v>4</v>
      </c>
      <c r="B7" s="4" t="s">
        <v>488</v>
      </c>
      <c r="C7" s="4" t="s">
        <v>472</v>
      </c>
      <c r="D7" s="4"/>
      <c r="E7" s="4"/>
      <c r="F7" s="4"/>
    </row>
    <row r="8" customFormat="false" ht="24" hidden="false" customHeight="true" outlineLevel="0" collapsed="false">
      <c r="A8" s="4" t="n">
        <v>5</v>
      </c>
      <c r="B8" s="4" t="s">
        <v>489</v>
      </c>
      <c r="C8" s="4" t="s">
        <v>472</v>
      </c>
      <c r="D8" s="4"/>
      <c r="E8" s="4"/>
      <c r="F8" s="4"/>
    </row>
    <row r="9" customFormat="false" ht="24" hidden="false" customHeight="true" outlineLevel="0" collapsed="false">
      <c r="A9" s="4" t="n">
        <v>6</v>
      </c>
      <c r="B9" s="4" t="s">
        <v>490</v>
      </c>
      <c r="C9" s="4" t="s">
        <v>472</v>
      </c>
      <c r="D9" s="4"/>
      <c r="E9" s="4"/>
      <c r="F9" s="4"/>
    </row>
    <row r="10" customFormat="false" ht="24" hidden="false" customHeight="true" outlineLevel="0" collapsed="false">
      <c r="A10" s="4" t="n">
        <v>7</v>
      </c>
      <c r="B10" s="4" t="s">
        <v>491</v>
      </c>
      <c r="C10" s="4" t="s">
        <v>472</v>
      </c>
      <c r="D10" s="4"/>
      <c r="E10" s="4"/>
      <c r="F10" s="4"/>
    </row>
    <row r="11" customFormat="false" ht="24" hidden="false" customHeight="true" outlineLevel="0" collapsed="false">
      <c r="A11" s="4" t="n">
        <v>8</v>
      </c>
      <c r="B11" s="4" t="s">
        <v>492</v>
      </c>
      <c r="C11" s="4" t="s">
        <v>472</v>
      </c>
      <c r="D11" s="4"/>
      <c r="E11" s="4"/>
      <c r="F11" s="4"/>
    </row>
    <row r="12" customFormat="false" ht="24" hidden="false" customHeight="true" outlineLevel="0" collapsed="false">
      <c r="A12" s="4" t="n">
        <v>9</v>
      </c>
      <c r="B12" s="4" t="s">
        <v>493</v>
      </c>
      <c r="C12" s="4" t="s">
        <v>472</v>
      </c>
      <c r="D12" s="4"/>
      <c r="E12" s="4"/>
      <c r="F12" s="4"/>
    </row>
    <row r="13" customFormat="false" ht="24" hidden="false" customHeight="true" outlineLevel="0" collapsed="false">
      <c r="A13" s="4" t="n">
        <v>10</v>
      </c>
      <c r="B13" s="4" t="s">
        <v>494</v>
      </c>
      <c r="C13" s="4" t="s">
        <v>472</v>
      </c>
      <c r="D13" s="4"/>
      <c r="E13" s="4"/>
      <c r="F13" s="4"/>
    </row>
    <row r="14" customFormat="false" ht="24" hidden="false" customHeight="true" outlineLevel="0" collapsed="false">
      <c r="A14" s="4" t="n">
        <v>11</v>
      </c>
      <c r="B14" s="4" t="s">
        <v>495</v>
      </c>
      <c r="C14" s="4" t="s">
        <v>472</v>
      </c>
      <c r="D14" s="4"/>
      <c r="E14" s="4"/>
      <c r="F14" s="4"/>
    </row>
    <row r="15" customFormat="false" ht="24" hidden="false" customHeight="true" outlineLevel="0" collapsed="false">
      <c r="A15" s="4" t="n">
        <v>12</v>
      </c>
      <c r="B15" s="4" t="s">
        <v>496</v>
      </c>
      <c r="C15" s="4" t="s">
        <v>472</v>
      </c>
      <c r="D15" s="4"/>
      <c r="E15" s="4"/>
      <c r="F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5" min="4" style="0" width="28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8" t="s">
        <v>77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5" t="s">
        <v>497</v>
      </c>
      <c r="B2" s="5"/>
      <c r="C2" s="5"/>
      <c r="D2" s="5"/>
      <c r="E2" s="5"/>
      <c r="F2" s="5"/>
      <c r="G2" s="5"/>
      <c r="H2" s="5"/>
    </row>
    <row r="3" customFormat="false" ht="31.5" hidden="false" customHeight="true" outlineLevel="0" collapsed="false">
      <c r="A3" s="3" t="s">
        <v>249</v>
      </c>
      <c r="B3" s="3" t="s">
        <v>498</v>
      </c>
      <c r="C3" s="3" t="s">
        <v>499</v>
      </c>
      <c r="D3" s="3" t="s">
        <v>500</v>
      </c>
      <c r="E3" s="3" t="s">
        <v>501</v>
      </c>
      <c r="F3" s="3" t="s">
        <v>502</v>
      </c>
      <c r="G3" s="3" t="s">
        <v>503</v>
      </c>
      <c r="H3" s="3" t="s">
        <v>468</v>
      </c>
    </row>
    <row r="4" customFormat="false" ht="45" hidden="false" customHeight="true" outlineLevel="0" collapsed="false">
      <c r="A4" s="7" t="s">
        <v>504</v>
      </c>
      <c r="B4" s="7" t="s">
        <v>505</v>
      </c>
      <c r="C4" s="7" t="s">
        <v>506</v>
      </c>
      <c r="D4" s="7" t="s">
        <v>507</v>
      </c>
      <c r="E4" s="7" t="s">
        <v>508</v>
      </c>
      <c r="F4" s="7" t="s">
        <v>509</v>
      </c>
      <c r="G4" s="7" t="s">
        <v>481</v>
      </c>
      <c r="H4" s="7" t="s">
        <v>510</v>
      </c>
    </row>
    <row r="5" customFormat="false" ht="21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1.75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21.7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21.7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21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21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2026-05-21T17:12:18Z</dcterms:created>
  <dc:creator>openpyxl</dc:creator>
  <dc:description/>
  <dc:language>en-US</dc:language>
  <cp:lastModifiedBy/>
  <dcterms:modified xsi:type="dcterms:W3CDTF">2026-05-21T17:12:18Z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